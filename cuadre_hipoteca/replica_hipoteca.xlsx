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ota_depa_alameda_dol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<sst xmlns="http://schemas.openxmlformats.org/spreadsheetml/2006/main" count="254" uniqueCount="74">
  <si>
    <t xml:space="preserve">monto asegurable</t>
  </si>
  <si>
    <t xml:space="preserve">E2</t>
  </si>
  <si>
    <t xml:space="preserve">Importe a financiar</t>
  </si>
  <si>
    <t xml:space="preserve">E3</t>
  </si>
  <si>
    <t xml:space="preserve">Plazo en años</t>
  </si>
  <si>
    <t xml:space="preserve">VALOR INMUEBLE</t>
  </si>
  <si>
    <t xml:space="preserve">CUOTA INICIAL</t>
  </si>
  <si>
    <t xml:space="preserve">INTERESES TOTALES</t>
  </si>
  <si>
    <t xml:space="preserve">CAPITAL TOTAL</t>
  </si>
  <si>
    <t xml:space="preserve">SEGURO TOTAL</t>
  </si>
  <si>
    <t xml:space="preserve">PAGADO TOTAL</t>
  </si>
  <si>
    <t xml:space="preserve">E4</t>
  </si>
  <si>
    <t xml:space="preserve">TEA Real</t>
  </si>
  <si>
    <t xml:space="preserve">ITF</t>
  </si>
  <si>
    <t xml:space="preserve">E5</t>
  </si>
  <si>
    <t xml:space="preserve">TEA Mensual</t>
  </si>
  <si>
    <t xml:space="preserve">Gastos notariales</t>
  </si>
  <si>
    <t xml:space="preserve">E6</t>
  </si>
  <si>
    <t xml:space="preserve">Frecuencia de pago</t>
  </si>
  <si>
    <t xml:space="preserve">E7</t>
  </si>
  <si>
    <t xml:space="preserve">Cuota mensual (del banco)</t>
  </si>
  <si>
    <t xml:space="preserve">E8</t>
  </si>
  <si>
    <t xml:space="preserve">TOTAL INVERTIDO</t>
  </si>
  <si>
    <t xml:space="preserve">TOTAL RENTA</t>
  </si>
  <si>
    <t xml:space="preserve">MESES PARA RECUPERAR</t>
  </si>
  <si>
    <t xml:space="preserve">AÑOS PARA RECUPERAR</t>
  </si>
  <si>
    <t xml:space="preserve">E9</t>
  </si>
  <si>
    <t xml:space="preserve">Interés mensual</t>
  </si>
  <si>
    <t xml:space="preserve">E10</t>
  </si>
  <si>
    <t xml:space="preserve">Total de cuotas</t>
  </si>
  <si>
    <t xml:space="preserve">E11</t>
  </si>
  <si>
    <t xml:space="preserve">Cuota pura</t>
  </si>
  <si>
    <t xml:space="preserve">E12</t>
  </si>
  <si>
    <t xml:space="preserve">Seguro propiedad ANUAL</t>
  </si>
  <si>
    <t xml:space="preserve">factores de descuento:</t>
  </si>
  <si>
    <t xml:space="preserve">E13</t>
  </si>
  <si>
    <t xml:space="preserve">Seguro propiedad MENSUAL</t>
  </si>
  <si>
    <t xml:space="preserve">E14</t>
  </si>
  <si>
    <t xml:space="preserve">Seguro desgravamen ANUAL</t>
  </si>
  <si>
    <t xml:space="preserve">E15</t>
  </si>
  <si>
    <t xml:space="preserve">Seguro desgravamen MENSUAL</t>
  </si>
  <si>
    <t xml:space="preserve">inmueble_id</t>
  </si>
  <si>
    <t xml:space="preserve">pagado</t>
  </si>
  <si>
    <t xml:space="preserve">fecha_vencimiento</t>
  </si>
  <si>
    <t xml:space="preserve">dias</t>
  </si>
  <si>
    <t xml:space="preserve">num_pago</t>
  </si>
  <si>
    <t xml:space="preserve">saldo_inicial</t>
  </si>
  <si>
    <t xml:space="preserve">cuota_mensual</t>
  </si>
  <si>
    <t xml:space="preserve">seguro_propiedad</t>
  </si>
  <si>
    <t xml:space="preserve">seguro_desgravamen</t>
  </si>
  <si>
    <t xml:space="preserve">porc_seguros</t>
  </si>
  <si>
    <t xml:space="preserve">presupuesto_personal</t>
  </si>
  <si>
    <t xml:space="preserve">ingreso_alquiler</t>
  </si>
  <si>
    <t xml:space="preserve">amortizacion_capital</t>
  </si>
  <si>
    <t xml:space="preserve">robo_amortizacion</t>
  </si>
  <si>
    <t xml:space="preserve">capital_cuota</t>
  </si>
  <si>
    <t xml:space="preserve">porc_capital</t>
  </si>
  <si>
    <t xml:space="preserve">capital_total</t>
  </si>
  <si>
    <t xml:space="preserve">interes_cuota</t>
  </si>
  <si>
    <t xml:space="preserve">porc_interes</t>
  </si>
  <si>
    <t xml:space="preserve">total_pagado</t>
  </si>
  <si>
    <t xml:space="preserve">saldo_final</t>
  </si>
  <si>
    <t xml:space="preserve">nueva_cuota</t>
  </si>
  <si>
    <t xml:space="preserve">comentario</t>
  </si>
  <si>
    <t xml:space="preserve">importe_reducido</t>
  </si>
  <si>
    <t xml:space="preserve">ahorro_en_intereses</t>
  </si>
  <si>
    <t xml:space="preserve">Depa Alameda Dolores</t>
  </si>
  <si>
    <t xml:space="preserve">Cuota inicial (10%)</t>
  </si>
  <si>
    <t xml:space="preserve">Endoso de desgravamen</t>
  </si>
  <si>
    <t xml:space="preserve">Línea del primer año</t>
  </si>
  <si>
    <t xml:space="preserve">Línea del segundo año</t>
  </si>
  <si>
    <t xml:space="preserve">Línea del tercer año</t>
  </si>
  <si>
    <t xml:space="preserve">Línea del cuarto año</t>
  </si>
  <si>
    <t xml:space="preserve">Línea del quinto año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</si>
</sst>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0"/>
    <numFmt numFmtId="167" formatCode="[$S/]#,##0.00"/>
    <numFmt numFmtId="168" formatCode="#,##0.000"/>
    <numFmt numFmtId="169" formatCode="0.00%"/>
    <numFmt numFmtId="170" formatCode="0%"/>
    <numFmt numFmtId="171" formatCode="###0.00"/>
    <numFmt numFmtId="172" formatCode="0.000%"/>
    <numFmt numFmtId="173" formatCode="0.0000000%"/>
    <numFmt numFmtId="174" formatCode="yyyy\/mm\/dd"/>
    <numFmt numFmtId="175" formatCode="0"/>
    <numFmt numFmtId="176" formatCode="0.0000000"/>
    <numFmt numFmtId="177" formatCode="yyyy/mm/dd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9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9"/>
      <color rgb="FF202124"/>
      <name val="Inherit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CE5CD"/>
        <bgColor rgb="FFEFEFEF"/>
      </patternFill>
    </fill>
    <fill>
      <patternFill patternType="solid">
        <fgColor rgb="FFD0E0E3"/>
        <bgColor rgb="FFB7E1CD"/>
      </patternFill>
    </fill>
    <fill>
      <patternFill patternType="solid">
        <fgColor rgb="FFFFE599"/>
        <bgColor rgb="FFFCE5CD"/>
      </patternFill>
    </fill>
    <fill>
      <patternFill patternType="solid">
        <fgColor rgb="FF93C47D"/>
        <bgColor rgb="FFB7E1CD"/>
      </patternFill>
    </fill>
    <fill>
      <patternFill patternType="solid">
        <fgColor rgb="FFEA9999"/>
        <bgColor rgb="FFFF8080"/>
      </patternFill>
    </fill>
    <fill>
      <patternFill patternType="solid">
        <fgColor rgb="FFEFEFEF"/>
        <bgColor rgb="FFF8F9FA"/>
      </patternFill>
    </fill>
    <fill>
      <patternFill patternType="solid">
        <fgColor rgb="FFF8F9FA"/>
        <bgColor rgb="FFEFEFEF"/>
      </patternFill>
    </fill>
    <fill>
      <patternFill patternType="solid">
        <fgColor rgb="FFEAD1DC"/>
        <bgColor rgb="FFD0E0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F9CB9C"/>
        </patternFill>
      </fill>
    </dxf>
  </dxf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EFEFEF"/>
      <rgbColor rgb="FFFCE5CD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E5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983"/>
  <sheetViews>
    <sheetView showFormulas="false" showGridLines="true" showRowColHeaders="true" showZeros="true" rightToLeft="false" tabSelected="true" showOutlineSymbols="true" defaultGridColor="true" view="normal" topLeftCell="C1" colorId="64" zoomScale="65" zoomScaleNormal="65" zoomScalePageLayoutView="100" workbookViewId="0">
      <pane xSplit="0" ySplit="18" topLeftCell="A19" activePane="bottomLeft" state="frozen"/>
      <selection pane="topLeft" activeCell="C1" activeCellId="0" sqref="C1"/>
      <selection pane="bottomLeft" activeCell="V6" activeCellId="0" sqref="V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6.88"/>
    <col collapsed="false" customWidth="true" hidden="false" outlineLevel="0" max="3" min="3" style="1" width="11"/>
    <col collapsed="false" customWidth="true" hidden="false" outlineLevel="0" max="4" min="4" style="1" width="4.13"/>
    <col collapsed="false" customWidth="true" hidden="false" outlineLevel="0" max="5" min="5" style="1" width="5.88"/>
    <col collapsed="false" customWidth="true" hidden="false" outlineLevel="0" max="7" min="6" style="1" width="11.12"/>
    <col collapsed="false" customWidth="true" hidden="false" outlineLevel="0" max="8" min="8" style="1" width="9.25"/>
    <col collapsed="false" customWidth="true" hidden="false" outlineLevel="0" max="10" min="9" style="1" width="8.63"/>
    <col collapsed="false" customWidth="true" hidden="false" outlineLevel="0" max="11" min="11" style="1" width="9.63"/>
    <col collapsed="false" customWidth="true" hidden="false" outlineLevel="0" max="12" min="12" style="1" width="7.88"/>
    <col collapsed="false" customWidth="true" hidden="false" outlineLevel="0" max="13" min="13" style="1" width="8.75"/>
    <col collapsed="false" customWidth="true" hidden="false" outlineLevel="0" max="14" min="14" style="1" width="9.25"/>
    <col collapsed="false" customWidth="true" hidden="false" outlineLevel="0" max="15" min="15" style="1" width="7.38"/>
    <col collapsed="false" customWidth="true" hidden="false" outlineLevel="0" max="16" min="16" style="1" width="6.75"/>
    <col collapsed="false" customWidth="true" hidden="false" outlineLevel="0" max="17" min="17" style="1" width="10.38"/>
    <col collapsed="false" customWidth="true" hidden="false" outlineLevel="0" max="18" min="18" style="1" width="6.88"/>
    <col collapsed="false" customWidth="true" hidden="false" outlineLevel="0" max="19" min="19" style="1" width="7.25"/>
    <col collapsed="false" customWidth="true" hidden="false" outlineLevel="0" max="20" min="20" style="1" width="11.25"/>
    <col collapsed="false" customWidth="true" hidden="false" outlineLevel="0" max="21" min="21" style="1" width="11.5"/>
    <col collapsed="false" customWidth="true" hidden="false" outlineLevel="0" max="22" min="22" style="1" width="11.25"/>
    <col collapsed="false" customWidth="true" hidden="false" outlineLevel="0" max="23" min="23" style="1" width="21.88"/>
    <col collapsed="false" customWidth="true" hidden="false" outlineLevel="0" max="24" min="24" style="1" width="7.88"/>
    <col collapsed="false" customWidth="true" hidden="false" outlineLevel="0" max="31" min="28" style="1" width="10.75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3" t="n">
        <f aca="false">($K$6+$K$5+$K$4)-$L$6</f>
        <v>129536.45</v>
      </c>
      <c r="G1" s="4" t="s">
        <v>0</v>
      </c>
      <c r="H1" s="5"/>
      <c r="I1" s="5"/>
      <c r="J1" s="5"/>
      <c r="K1" s="2"/>
      <c r="L1" s="2"/>
      <c r="M1" s="2"/>
      <c r="N1" s="6"/>
      <c r="O1" s="6"/>
      <c r="P1" s="6"/>
      <c r="Q1" s="6"/>
      <c r="R1" s="4"/>
      <c r="S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27" hidden="false" customHeight="true" outlineLevel="0" collapsed="false">
      <c r="A2" s="7"/>
      <c r="B2" s="7"/>
      <c r="C2" s="7"/>
      <c r="D2" s="7" t="s">
        <v>1</v>
      </c>
      <c r="E2" s="8" t="s">
        <v>2</v>
      </c>
      <c r="F2" s="3" t="n">
        <v>129536.45</v>
      </c>
      <c r="G2" s="9" t="n">
        <v>151875</v>
      </c>
      <c r="H2" s="10"/>
      <c r="I2" s="10"/>
      <c r="J2" s="10"/>
      <c r="K2" s="11"/>
      <c r="L2" s="12"/>
      <c r="M2" s="11"/>
      <c r="N2" s="13"/>
      <c r="O2" s="13"/>
      <c r="P2" s="13"/>
      <c r="Q2" s="13"/>
      <c r="R2" s="14"/>
      <c r="S2" s="14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customFormat="false" ht="14.25" hidden="false" customHeight="true" outlineLevel="0" collapsed="false">
      <c r="A3" s="7"/>
      <c r="B3" s="7"/>
      <c r="C3" s="7"/>
      <c r="D3" s="7" t="s">
        <v>3</v>
      </c>
      <c r="E3" s="8" t="s">
        <v>4</v>
      </c>
      <c r="F3" s="3" t="n">
        <v>15</v>
      </c>
      <c r="G3" s="14"/>
      <c r="H3" s="10"/>
      <c r="I3" s="10"/>
      <c r="J3" s="10"/>
      <c r="K3" s="12" t="s">
        <v>5</v>
      </c>
      <c r="L3" s="12" t="s">
        <v>6</v>
      </c>
      <c r="M3" s="15" t="s">
        <v>7</v>
      </c>
      <c r="N3" s="12"/>
      <c r="O3" s="15" t="s">
        <v>8</v>
      </c>
      <c r="P3" s="12"/>
      <c r="Q3" s="15" t="s">
        <v>9</v>
      </c>
      <c r="R3" s="16" t="s">
        <v>10</v>
      </c>
      <c r="S3" s="17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customFormat="false" ht="14.25" hidden="false" customHeight="true" outlineLevel="0" collapsed="false">
      <c r="A4" s="7"/>
      <c r="B4" s="7"/>
      <c r="C4" s="7"/>
      <c r="D4" s="7" t="s">
        <v>11</v>
      </c>
      <c r="E4" s="8" t="s">
        <v>12</v>
      </c>
      <c r="F4" s="18" t="n">
        <v>0.0799</v>
      </c>
      <c r="G4" s="14"/>
      <c r="H4" s="10"/>
      <c r="I4" s="10"/>
      <c r="J4" s="10" t="s">
        <v>13</v>
      </c>
      <c r="K4" s="19" t="n">
        <v>6.45</v>
      </c>
      <c r="L4" s="20" t="n">
        <v>0.1</v>
      </c>
      <c r="M4" s="15"/>
      <c r="N4" s="12"/>
      <c r="O4" s="15"/>
      <c r="P4" s="12"/>
      <c r="Q4" s="15"/>
      <c r="R4" s="15"/>
      <c r="S4" s="17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customFormat="false" ht="14.25" hidden="false" customHeight="true" outlineLevel="0" collapsed="false">
      <c r="A5" s="7"/>
      <c r="B5" s="7"/>
      <c r="C5" s="7"/>
      <c r="D5" s="7" t="s">
        <v>14</v>
      </c>
      <c r="E5" s="8" t="s">
        <v>15</v>
      </c>
      <c r="F5" s="18" t="n">
        <f aca="false">F4/12</f>
        <v>0.00665833333333333</v>
      </c>
      <c r="G5" s="14"/>
      <c r="H5" s="10"/>
      <c r="I5" s="10"/>
      <c r="J5" s="10" t="s">
        <v>16</v>
      </c>
      <c r="K5" s="19" t="n">
        <v>1730</v>
      </c>
      <c r="L5" s="20"/>
      <c r="M5" s="12"/>
      <c r="N5" s="12"/>
      <c r="O5" s="12"/>
      <c r="P5" s="12"/>
      <c r="Q5" s="12"/>
      <c r="R5" s="17"/>
      <c r="S5" s="17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customFormat="false" ht="23.25" hidden="false" customHeight="true" outlineLevel="0" collapsed="false">
      <c r="A6" s="7"/>
      <c r="B6" s="7"/>
      <c r="C6" s="7"/>
      <c r="D6" s="7" t="s">
        <v>17</v>
      </c>
      <c r="E6" s="8" t="s">
        <v>18</v>
      </c>
      <c r="F6" s="3" t="n">
        <v>12</v>
      </c>
      <c r="G6" s="14"/>
      <c r="H6" s="10"/>
      <c r="I6" s="10"/>
      <c r="J6" s="10"/>
      <c r="K6" s="21" t="n">
        <v>142000</v>
      </c>
      <c r="L6" s="22" t="n">
        <v>14200</v>
      </c>
      <c r="M6" s="14" t="n">
        <f aca="false">SUMIF(R18:R203,"&gt;0")</f>
        <v>60603.6159893444</v>
      </c>
      <c r="N6" s="14"/>
      <c r="O6" s="14" t="n">
        <f aca="false">SUMIFS(Q18:Q203,F18:F203,"&gt;0")</f>
        <v>143660.957549464</v>
      </c>
      <c r="P6" s="14"/>
      <c r="Q6" s="23" t="n">
        <f aca="false">SUM(I20:I199)</f>
        <v>35.0827111915268</v>
      </c>
      <c r="R6" s="14" t="n">
        <f aca="false">SUM(T19:T199)</f>
        <v>211878.21</v>
      </c>
      <c r="S6" s="14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customFormat="false" ht="23.25" hidden="false" customHeight="true" outlineLevel="0" collapsed="false">
      <c r="A7" s="7"/>
      <c r="B7" s="7"/>
      <c r="C7" s="7"/>
      <c r="D7" s="7" t="s">
        <v>19</v>
      </c>
      <c r="E7" s="8" t="s">
        <v>20</v>
      </c>
      <c r="F7" s="3" t="n">
        <v>1293.17</v>
      </c>
      <c r="G7" s="3"/>
      <c r="H7" s="10"/>
      <c r="I7" s="10"/>
      <c r="J7" s="10"/>
      <c r="K7" s="11"/>
      <c r="M7" s="11"/>
      <c r="N7" s="11"/>
      <c r="O7" s="11"/>
      <c r="P7" s="11"/>
      <c r="Q7" s="13"/>
      <c r="R7" s="14"/>
      <c r="S7" s="14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14.25" hidden="false" customHeight="true" outlineLevel="0" collapsed="false">
      <c r="A8" s="7"/>
      <c r="B8" s="7"/>
      <c r="C8" s="7"/>
      <c r="D8" s="7" t="s">
        <v>21</v>
      </c>
      <c r="E8" s="8"/>
      <c r="F8" s="3"/>
      <c r="G8" s="14"/>
      <c r="H8" s="10"/>
      <c r="I8" s="10"/>
      <c r="J8" s="10"/>
      <c r="K8" s="12" t="s">
        <v>22</v>
      </c>
      <c r="L8" s="12" t="s">
        <v>23</v>
      </c>
      <c r="M8" s="12" t="s">
        <v>24</v>
      </c>
      <c r="N8" s="12"/>
      <c r="O8" s="12" t="s">
        <v>25</v>
      </c>
      <c r="P8" s="12"/>
      <c r="Q8" s="13"/>
      <c r="R8" s="14"/>
      <c r="S8" s="14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customFormat="false" ht="14.25" hidden="false" customHeight="true" outlineLevel="0" collapsed="false">
      <c r="A9" s="7"/>
      <c r="B9" s="7"/>
      <c r="C9" s="7"/>
      <c r="D9" s="7" t="s">
        <v>26</v>
      </c>
      <c r="E9" s="8" t="s">
        <v>27</v>
      </c>
      <c r="F9" s="24" t="n">
        <f aca="false">(1+F4)^(1/F6)-1</f>
        <v>0.00642626408574443</v>
      </c>
      <c r="G9" s="14"/>
      <c r="H9" s="10"/>
      <c r="I9" s="10"/>
      <c r="J9" s="10"/>
      <c r="K9" s="23" t="n">
        <f aca="false">(SUM(T19:T199)-SUM(L19:L199))</f>
        <v>211878.21</v>
      </c>
      <c r="L9" s="23" t="n">
        <f aca="false">SUM(L20:L199)</f>
        <v>0</v>
      </c>
      <c r="M9" s="10" t="n">
        <f aca="false">K9/800</f>
        <v>264.8477625</v>
      </c>
      <c r="N9" s="14"/>
      <c r="O9" s="14" t="n">
        <f aca="false">M9/12</f>
        <v>22.070646875</v>
      </c>
      <c r="P9" s="14"/>
      <c r="Q9" s="13"/>
      <c r="R9" s="14"/>
      <c r="S9" s="14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customFormat="false" ht="14.25" hidden="false" customHeight="true" outlineLevel="0" collapsed="false">
      <c r="A10" s="7"/>
      <c r="B10" s="7"/>
      <c r="C10" s="7"/>
      <c r="D10" s="7" t="s">
        <v>28</v>
      </c>
      <c r="E10" s="8" t="s">
        <v>29</v>
      </c>
      <c r="F10" s="3" t="n">
        <f aca="false">F3*F6</f>
        <v>180</v>
      </c>
      <c r="G10" s="14"/>
      <c r="H10" s="10"/>
      <c r="I10" s="10"/>
      <c r="J10" s="10"/>
      <c r="K10" s="11"/>
      <c r="L10" s="11"/>
      <c r="M10" s="11"/>
      <c r="N10" s="13"/>
      <c r="O10" s="13"/>
      <c r="P10" s="13"/>
      <c r="Q10" s="13"/>
      <c r="R10" s="14"/>
      <c r="S10" s="14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customFormat="false" ht="14.25" hidden="false" customHeight="true" outlineLevel="0" collapsed="false">
      <c r="A11" s="7"/>
      <c r="B11" s="7"/>
      <c r="C11" s="7"/>
      <c r="D11" s="7" t="s">
        <v>30</v>
      </c>
      <c r="E11" s="8" t="s">
        <v>31</v>
      </c>
      <c r="F11" s="3" t="n">
        <f aca="false">PMT(F9,F10,-F2)</f>
        <v>1216.44153671545</v>
      </c>
      <c r="G11" s="14"/>
      <c r="H11" s="10"/>
      <c r="I11" s="10"/>
      <c r="J11" s="10"/>
      <c r="K11" s="11"/>
      <c r="L11" s="11"/>
      <c r="M11" s="11"/>
      <c r="N11" s="13"/>
      <c r="O11" s="13"/>
      <c r="P11" s="13"/>
      <c r="Q11" s="13"/>
      <c r="R11" s="14"/>
      <c r="S11" s="14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customFormat="false" ht="27" hidden="false" customHeight="true" outlineLevel="0" collapsed="false">
      <c r="A12" s="7"/>
      <c r="B12" s="7"/>
      <c r="C12" s="7"/>
      <c r="D12" s="7" t="s">
        <v>32</v>
      </c>
      <c r="E12" s="8" t="s">
        <v>33</v>
      </c>
      <c r="F12" s="25" t="n">
        <v>0.0034</v>
      </c>
      <c r="G12" s="14"/>
      <c r="H12" s="10"/>
      <c r="I12" s="10"/>
      <c r="J12" s="10"/>
      <c r="K12" s="11" t="s">
        <v>34</v>
      </c>
      <c r="L12" s="11"/>
      <c r="M12" s="11"/>
      <c r="N12" s="13"/>
      <c r="O12" s="13"/>
      <c r="P12" s="13"/>
      <c r="Q12" s="13"/>
      <c r="R12" s="14"/>
      <c r="S12" s="14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customFormat="false" ht="27" hidden="false" customHeight="true" outlineLevel="0" collapsed="false">
      <c r="A13" s="7"/>
      <c r="B13" s="7"/>
      <c r="C13" s="7"/>
      <c r="D13" s="7" t="s">
        <v>35</v>
      </c>
      <c r="E13" s="8" t="s">
        <v>36</v>
      </c>
      <c r="F13" s="25" t="n">
        <f aca="false">F12/12</f>
        <v>0.000283333333333333</v>
      </c>
      <c r="G13" s="14"/>
      <c r="H13" s="10"/>
      <c r="I13" s="10"/>
      <c r="J13" s="10"/>
      <c r="K13" s="11" t="e">
        <f aca="false">SUM(#ref!)</f>
        <v>#NAME?</v>
      </c>
      <c r="L13" s="11"/>
      <c r="M13" s="11"/>
      <c r="N13" s="13"/>
      <c r="O13" s="13"/>
      <c r="P13" s="13"/>
      <c r="Q13" s="13"/>
      <c r="R13" s="14"/>
      <c r="S13" s="14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customFormat="false" ht="27" hidden="false" customHeight="true" outlineLevel="0" collapsed="false">
      <c r="A14" s="7"/>
      <c r="B14" s="7"/>
      <c r="C14" s="7"/>
      <c r="D14" s="7" t="s">
        <v>37</v>
      </c>
      <c r="E14" s="8" t="s">
        <v>38</v>
      </c>
      <c r="F14" s="26" t="n">
        <f aca="false">F15*12</f>
        <v>0.0033648</v>
      </c>
      <c r="G14" s="14"/>
      <c r="H14" s="10"/>
      <c r="I14" s="10"/>
      <c r="J14" s="10"/>
      <c r="K14" s="11"/>
      <c r="L14" s="11" t="n">
        <v>9900</v>
      </c>
      <c r="M14" s="11"/>
      <c r="N14" s="13"/>
      <c r="O14" s="13"/>
      <c r="P14" s="13"/>
      <c r="Q14" s="13"/>
      <c r="R14" s="14"/>
      <c r="S14" s="14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customFormat="false" ht="27" hidden="false" customHeight="true" outlineLevel="0" collapsed="false">
      <c r="A15" s="7"/>
      <c r="B15" s="7"/>
      <c r="C15" s="7"/>
      <c r="D15" s="7" t="s">
        <v>39</v>
      </c>
      <c r="E15" s="8" t="s">
        <v>40</v>
      </c>
      <c r="F15" s="26" t="n">
        <v>0.0002804</v>
      </c>
      <c r="G15" s="14"/>
      <c r="H15" s="10"/>
      <c r="I15" s="10"/>
      <c r="J15" s="10"/>
      <c r="K15" s="11"/>
      <c r="L15" s="11"/>
      <c r="M15" s="11"/>
      <c r="N15" s="13"/>
      <c r="O15" s="13"/>
      <c r="P15" s="13"/>
      <c r="Q15" s="13"/>
      <c r="R15" s="14"/>
      <c r="S15" s="14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customFormat="false" ht="7.5" hidden="false" customHeight="true" outlineLevel="0" collapsed="false">
      <c r="A16" s="27"/>
      <c r="B16" s="27"/>
      <c r="C16" s="27"/>
      <c r="D16" s="27"/>
      <c r="E16" s="27"/>
      <c r="F16" s="28"/>
      <c r="G16" s="28"/>
      <c r="H16" s="29"/>
      <c r="I16" s="29"/>
      <c r="J16" s="29"/>
      <c r="K16" s="27"/>
      <c r="L16" s="27"/>
      <c r="M16" s="27"/>
      <c r="N16" s="30"/>
      <c r="O16" s="30"/>
      <c r="P16" s="30"/>
      <c r="Q16" s="30"/>
      <c r="R16" s="28"/>
      <c r="S16" s="28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customFormat="false" ht="18" hidden="false" customHeight="true" outlineLevel="0" collapsed="false">
      <c r="A17" s="27"/>
      <c r="B17" s="27"/>
      <c r="C17" s="27"/>
      <c r="D17" s="27"/>
      <c r="E17" s="27"/>
      <c r="F17" s="28"/>
      <c r="G17" s="28"/>
      <c r="H17" s="29"/>
      <c r="I17" s="29"/>
      <c r="J17" s="29"/>
      <c r="K17" s="27"/>
      <c r="L17" s="27"/>
      <c r="M17" s="27"/>
      <c r="N17" s="30"/>
      <c r="O17" s="30"/>
      <c r="P17" s="30"/>
      <c r="Q17" s="30"/>
      <c r="R17" s="28"/>
      <c r="S17" s="2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customFormat="false" ht="42.75" hidden="false" customHeight="true" outlineLevel="0" collapsed="false">
      <c r="A18" s="31" t="s">
        <v>41</v>
      </c>
      <c r="B18" s="31" t="s">
        <v>42</v>
      </c>
      <c r="C18" s="31" t="s">
        <v>43</v>
      </c>
      <c r="D18" s="31" t="s">
        <v>44</v>
      </c>
      <c r="E18" s="32" t="s">
        <v>45</v>
      </c>
      <c r="F18" s="33" t="s">
        <v>46</v>
      </c>
      <c r="G18" s="33" t="s">
        <v>47</v>
      </c>
      <c r="H18" s="34" t="s">
        <v>48</v>
      </c>
      <c r="I18" s="34" t="s">
        <v>49</v>
      </c>
      <c r="J18" s="35" t="s">
        <v>50</v>
      </c>
      <c r="K18" s="36" t="s">
        <v>51</v>
      </c>
      <c r="L18" s="37" t="s">
        <v>52</v>
      </c>
      <c r="M18" s="37" t="s">
        <v>53</v>
      </c>
      <c r="N18" s="38" t="s">
        <v>54</v>
      </c>
      <c r="O18" s="39" t="s">
        <v>55</v>
      </c>
      <c r="P18" s="40" t="s">
        <v>56</v>
      </c>
      <c r="Q18" s="41" t="s">
        <v>57</v>
      </c>
      <c r="R18" s="33" t="s">
        <v>58</v>
      </c>
      <c r="S18" s="42" t="s">
        <v>59</v>
      </c>
      <c r="T18" s="32" t="s">
        <v>60</v>
      </c>
      <c r="U18" s="32" t="s">
        <v>61</v>
      </c>
      <c r="V18" s="32" t="s">
        <v>62</v>
      </c>
      <c r="W18" s="32" t="s">
        <v>63</v>
      </c>
      <c r="X18" s="43" t="s">
        <v>64</v>
      </c>
      <c r="Y18" s="43" t="s">
        <v>65</v>
      </c>
      <c r="Z18" s="43"/>
      <c r="AA18" s="43"/>
      <c r="AB18" s="44"/>
      <c r="AC18" s="44"/>
      <c r="AD18" s="44"/>
      <c r="AE18" s="44"/>
      <c r="AF18" s="43"/>
      <c r="AG18" s="43"/>
      <c r="AH18" s="43"/>
      <c r="AI18" s="43"/>
      <c r="AJ18" s="43"/>
      <c r="AK18" s="43"/>
      <c r="AL18" s="43"/>
      <c r="AM18" s="43"/>
      <c r="AN18" s="43"/>
    </row>
    <row r="19" customFormat="false" ht="15.75" hidden="false" customHeight="true" outlineLevel="0" collapsed="false">
      <c r="A19" s="45" t="s">
        <v>66</v>
      </c>
      <c r="B19" s="46" t="b">
        <f aca="false">TRUE()</f>
        <v>1</v>
      </c>
      <c r="C19" s="47" t="n">
        <v>45916</v>
      </c>
      <c r="D19" s="48"/>
      <c r="E19" s="49" t="n">
        <v>0</v>
      </c>
      <c r="F19" s="50" t="n">
        <f aca="false">F2+L6</f>
        <v>143736.45</v>
      </c>
      <c r="G19" s="50" t="n">
        <v>14200</v>
      </c>
      <c r="H19" s="50"/>
      <c r="I19" s="50"/>
      <c r="J19" s="51"/>
      <c r="K19" s="52"/>
      <c r="L19" s="50"/>
      <c r="M19" s="50"/>
      <c r="N19" s="50"/>
      <c r="O19" s="50"/>
      <c r="P19" s="51"/>
      <c r="Q19" s="50" t="n">
        <v>14200</v>
      </c>
      <c r="R19" s="50"/>
      <c r="S19" s="51"/>
      <c r="T19" s="50" t="n">
        <v>14200</v>
      </c>
      <c r="U19" s="50" t="n">
        <f aca="false">F2</f>
        <v>129536.45</v>
      </c>
      <c r="V19" s="2"/>
      <c r="W19" s="2" t="s">
        <v>67</v>
      </c>
      <c r="X19" s="2"/>
      <c r="Y19" s="2"/>
      <c r="Z19" s="2"/>
      <c r="AA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false" ht="15.75" hidden="false" customHeight="true" outlineLevel="0" collapsed="false">
      <c r="A20" s="45" t="s">
        <v>66</v>
      </c>
      <c r="B20" s="46" t="b">
        <f aca="false">TRUE()</f>
        <v>1</v>
      </c>
      <c r="C20" s="47" t="n">
        <v>45946</v>
      </c>
      <c r="D20" s="48" t="n">
        <f aca="false">C20-C19</f>
        <v>30</v>
      </c>
      <c r="E20" s="49" t="n">
        <v>1</v>
      </c>
      <c r="F20" s="50" t="n">
        <f aca="false">IF(U19&gt;0, U19, 0)</f>
        <v>129536.45</v>
      </c>
      <c r="G20" s="50" t="n">
        <f aca="false">IF($F$7&lt;U19,$F$7,F20+R20+I20)</f>
        <v>1293.17</v>
      </c>
      <c r="H20" s="50" t="n">
        <f aca="false">IF(F20&gt;$F$7, ($G$2*($F$12/12)), 0)</f>
        <v>43.03125</v>
      </c>
      <c r="I20" s="50" t="n">
        <f aca="false">F20*((1+$F$14)^(D20/360)-1)</f>
        <v>36.266124884264</v>
      </c>
      <c r="J20" s="51" t="n">
        <f aca="false">IF(G20 = 0, 0, (H20+I20)/G20)</f>
        <v>0.0613201473002498</v>
      </c>
      <c r="K20" s="52" t="n">
        <v>3908.3</v>
      </c>
      <c r="L20" s="50" t="n">
        <v>0</v>
      </c>
      <c r="M20" s="50" t="n">
        <f aca="false">IF(F20&gt;K20,K20-G20-N20+L20,0)</f>
        <v>2586.34</v>
      </c>
      <c r="N20" s="50" t="n">
        <v>28.79</v>
      </c>
      <c r="O20" s="50" t="n">
        <f aca="false">(G20-R20-I20-H20)</f>
        <v>381.437188685908</v>
      </c>
      <c r="P20" s="51" t="n">
        <f aca="false">IF(G20 = 0, 0 , (O20/G20))</f>
        <v>0.294962911825907</v>
      </c>
      <c r="Q20" s="50" t="n">
        <f aca="false">SUM(L20:O20)</f>
        <v>2996.56718868591</v>
      </c>
      <c r="R20" s="50" t="n">
        <f aca="false">F20*((1+$F$4)^(D20/360)-1)</f>
        <v>832.435436429829</v>
      </c>
      <c r="S20" s="51" t="n">
        <f aca="false">R20/G20</f>
        <v>0.643716940873844</v>
      </c>
      <c r="T20" s="50" t="n">
        <f aca="false">L20+M20+O20+R20+H20+I20</f>
        <v>3879.51</v>
      </c>
      <c r="U20" s="50" t="n">
        <f aca="false">F20-O20-M20-L20</f>
        <v>126568.672811314</v>
      </c>
      <c r="V20" s="2" t="n">
        <v>1267.86</v>
      </c>
      <c r="W20" s="2"/>
      <c r="X20" s="53" t="n">
        <f aca="false">IF(V20 &gt; 0, (G20-V20), 0)</f>
        <v>25.3100000000002</v>
      </c>
      <c r="Y20" s="2" t="n">
        <f aca="false">X20*(180-E20)-M20</f>
        <v>1944.15000000003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customFormat="false" ht="15.75" hidden="false" customHeight="true" outlineLevel="0" collapsed="false">
      <c r="A21" s="45" t="s">
        <v>66</v>
      </c>
      <c r="B21" s="46" t="b">
        <f aca="false">TRUE()</f>
        <v>1</v>
      </c>
      <c r="C21" s="47" t="n">
        <v>45977</v>
      </c>
      <c r="D21" s="48" t="n">
        <f aca="false">C21-C20</f>
        <v>31</v>
      </c>
      <c r="E21" s="49" t="n">
        <v>2</v>
      </c>
      <c r="F21" s="50" t="n">
        <f aca="false">IF(U20&gt;0, U20, 0)</f>
        <v>126568.672811314</v>
      </c>
      <c r="G21" s="50" t="n">
        <f aca="false">IF(AND(V20&lt;&gt;"", V20&lt;$F$7), V20, G20)</f>
        <v>1267.86</v>
      </c>
      <c r="H21" s="50" t="n">
        <f aca="false">IF(F21&gt;$F$7, ($G$2*($F$12/12)), 0)</f>
        <v>43.03125</v>
      </c>
      <c r="I21" s="50" t="n">
        <f aca="false">F21*((1+$F$14)^(D21/360)-1)</f>
        <v>36.6165863072628</v>
      </c>
      <c r="J21" s="51" t="n">
        <f aca="false">IF(G21 = 0, 0, (H21+I21)/G21)</f>
        <v>0.0628206870689688</v>
      </c>
      <c r="K21" s="52" t="n">
        <v>10267.86</v>
      </c>
      <c r="L21" s="50" t="n">
        <v>0</v>
      </c>
      <c r="M21" s="50" t="n">
        <f aca="false">IF(F21&gt;K21,K21-G21-N21+L21,0)</f>
        <v>8943.74</v>
      </c>
      <c r="N21" s="50" t="n">
        <v>56.26</v>
      </c>
      <c r="O21" s="50" t="n">
        <f aca="false">(G21-R21-I21-H21)</f>
        <v>347.646490494571</v>
      </c>
      <c r="P21" s="51" t="n">
        <f aca="false">IF(G21 = 0, 0 , (O21/G21))</f>
        <v>0.274199430926578</v>
      </c>
      <c r="Q21" s="50" t="n">
        <f aca="false">SUM(L21:O21)</f>
        <v>9347.64649049457</v>
      </c>
      <c r="R21" s="50" t="n">
        <f aca="false">F21*((1+$F$4)^(D21/360)-1)</f>
        <v>840.565673198167</v>
      </c>
      <c r="S21" s="51" t="n">
        <f aca="false">R21/G21</f>
        <v>0.662979882004454</v>
      </c>
      <c r="T21" s="50" t="n">
        <f aca="false">L21+M21+O21+R21+H21+I21</f>
        <v>10211.6</v>
      </c>
      <c r="U21" s="50" t="n">
        <f aca="false">F21-O21-M21-L21</f>
        <v>117277.28632082</v>
      </c>
      <c r="V21" s="2" t="n">
        <v>1157.59</v>
      </c>
      <c r="W21" s="2"/>
      <c r="X21" s="53" t="n">
        <f aca="false">IF(V21 &gt; 0, (G21-V21), 0)</f>
        <v>110.27</v>
      </c>
      <c r="Y21" s="2" t="n">
        <f aca="false">X21*(180-E21)-M21</f>
        <v>10684.32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false" ht="15.75" hidden="false" customHeight="true" outlineLevel="0" collapsed="false">
      <c r="A22" s="45" t="s">
        <v>66</v>
      </c>
      <c r="B22" s="46" t="b">
        <f aca="false">TRUE()</f>
        <v>1</v>
      </c>
      <c r="C22" s="47" t="n">
        <v>46007</v>
      </c>
      <c r="D22" s="48" t="n">
        <f aca="false">C22-C21</f>
        <v>30</v>
      </c>
      <c r="E22" s="49" t="n">
        <v>3</v>
      </c>
      <c r="F22" s="50" t="n">
        <f aca="false">IF(U21&gt;0, U21, 0)</f>
        <v>117277.28632082</v>
      </c>
      <c r="G22" s="50" t="n">
        <f aca="false">IF(AND(V21&lt;&gt;"", V21&lt;$F$7), V21, G21)</f>
        <v>1157.59</v>
      </c>
      <c r="H22" s="50" t="n">
        <f aca="false">IF(F22&gt;$F$7, ($G$2*($F$12/12)), 0)</f>
        <v>43.03125</v>
      </c>
      <c r="I22" s="50" t="n">
        <v>-37.8</v>
      </c>
      <c r="J22" s="51" t="n">
        <f aca="false">IF(G22 = 0, 0, (H22+I22)/G22)</f>
        <v>0.00451908706882402</v>
      </c>
      <c r="K22" s="52" t="n">
        <f aca="false">1157.59+16000</f>
        <v>17157.59</v>
      </c>
      <c r="L22" s="50" t="n">
        <v>0</v>
      </c>
      <c r="M22" s="50" t="n">
        <f aca="false">IF(F22&gt;K22,K22-G22-N22+L22,0)</f>
        <v>16000</v>
      </c>
      <c r="N22" s="50" t="n">
        <v>0</v>
      </c>
      <c r="O22" s="50" t="n">
        <f aca="false">(G22-R22-I22-H22)</f>
        <v>398.703936842951</v>
      </c>
      <c r="P22" s="51" t="n">
        <f aca="false">IF(G22 = 0, 0 , (O22/G22))</f>
        <v>0.344425864807878</v>
      </c>
      <c r="Q22" s="50" t="n">
        <f aca="false">SUM(L22:O22)</f>
        <v>16398.703936843</v>
      </c>
      <c r="R22" s="50" t="n">
        <f aca="false">F22*((1+$F$4)^(D22/360)-1)</f>
        <v>753.654813157049</v>
      </c>
      <c r="S22" s="51" t="n">
        <f aca="false">R22/G22</f>
        <v>0.651055048123298</v>
      </c>
      <c r="T22" s="50" t="n">
        <f aca="false">L22+M22+O22+R22+H22+I22</f>
        <v>17157.59</v>
      </c>
      <c r="U22" s="50" t="n">
        <f aca="false">F22-O22-M22-L22</f>
        <v>100878.582383977</v>
      </c>
      <c r="V22" s="2" t="n">
        <v>1004.96</v>
      </c>
      <c r="W22" s="2" t="s">
        <v>68</v>
      </c>
      <c r="X22" s="53" t="n">
        <f aca="false">IF(V22 &gt; 0, (G22-V22), 0)</f>
        <v>152.63</v>
      </c>
      <c r="Y22" s="2" t="n">
        <f aca="false">X22*(180-E22)-M22</f>
        <v>11015.51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customFormat="false" ht="15.75" hidden="false" customHeight="true" outlineLevel="0" collapsed="false">
      <c r="A23" s="45" t="s">
        <v>66</v>
      </c>
      <c r="B23" s="46" t="b">
        <f aca="false">TRUE()</f>
        <v>1</v>
      </c>
      <c r="C23" s="47" t="n">
        <v>46038</v>
      </c>
      <c r="D23" s="48" t="n">
        <f aca="false">C23-C22</f>
        <v>31</v>
      </c>
      <c r="E23" s="49" t="n">
        <v>4</v>
      </c>
      <c r="F23" s="50" t="n">
        <f aca="false">IF(U22&gt;0, U22, 0)</f>
        <v>100878.582383977</v>
      </c>
      <c r="G23" s="50" t="n">
        <f aca="false">IF(AND(V22&lt;&gt;"", V22&lt;$F$7), V22, G22)</f>
        <v>1004.96</v>
      </c>
      <c r="H23" s="50" t="n">
        <f aca="false">IF(F23&gt;$F$7, ($G$2*($F$12/12)), 0)</f>
        <v>43.03125</v>
      </c>
      <c r="I23" s="50" t="n">
        <v>0</v>
      </c>
      <c r="J23" s="51" t="n">
        <f aca="false">IF(G23 = 0, 0, (H23+I23)/G23)</f>
        <v>0.0428188684126731</v>
      </c>
      <c r="K23" s="52" t="n">
        <f aca="false">1004.96+2800</f>
        <v>3804.96</v>
      </c>
      <c r="L23" s="50" t="n">
        <v>0</v>
      </c>
      <c r="M23" s="50" t="n">
        <f aca="false">IF(F23&gt;K23,K23-G23-N23+L23,0)</f>
        <v>2800</v>
      </c>
      <c r="N23" s="50" t="n">
        <v>0</v>
      </c>
      <c r="O23" s="50" t="n">
        <f aca="false">(G23-R23-I23-H23)</f>
        <v>291.975659480716</v>
      </c>
      <c r="P23" s="51" t="n">
        <f aca="false">IF(G23 = 0, 0 , (O23/G23))</f>
        <v>0.2905346078259</v>
      </c>
      <c r="Q23" s="50" t="n">
        <f aca="false">SUM(L23:O23)</f>
        <v>3091.97565948072</v>
      </c>
      <c r="R23" s="50" t="n">
        <f aca="false">F23*((1+$F$4)^(D23/360)-1)</f>
        <v>669.953090519284</v>
      </c>
      <c r="S23" s="51" t="n">
        <f aca="false">R23/G23</f>
        <v>0.666646523761427</v>
      </c>
      <c r="T23" s="50" t="n">
        <f aca="false">L23+M23+O23+R23+H23+I23</f>
        <v>3804.96</v>
      </c>
      <c r="U23" s="50" t="n">
        <f aca="false">F23-O23-M23-L23</f>
        <v>97786.6067244959</v>
      </c>
      <c r="V23" s="2" t="n">
        <v>978.17</v>
      </c>
      <c r="W23" s="2"/>
      <c r="X23" s="53" t="n">
        <f aca="false">IF(V23 &gt; 0, (G23-V23), 0)</f>
        <v>26.7900000000001</v>
      </c>
      <c r="Y23" s="2" t="n">
        <f aca="false">X23*(180-E23)-M23</f>
        <v>1915.04000000001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false" ht="15.75" hidden="false" customHeight="true" outlineLevel="0" collapsed="false">
      <c r="A24" s="45" t="s">
        <v>66</v>
      </c>
      <c r="B24" s="46" t="b">
        <f aca="false">TRUE()</f>
        <v>1</v>
      </c>
      <c r="C24" s="47" t="n">
        <v>46069</v>
      </c>
      <c r="D24" s="48" t="n">
        <f aca="false">C24-C23</f>
        <v>31</v>
      </c>
      <c r="E24" s="49" t="n">
        <v>5</v>
      </c>
      <c r="F24" s="50" t="n">
        <f aca="false">IF(U23&gt;0, U23, 0)</f>
        <v>97786.6067244959</v>
      </c>
      <c r="G24" s="50" t="n">
        <f aca="false">IF(AND(V23&lt;&gt;"", V23&lt;$F$7), V23, G23)</f>
        <v>978.17</v>
      </c>
      <c r="H24" s="50" t="n">
        <f aca="false">IF(F24&gt;$F$7, ($G$2*($F$12/12)), 0)</f>
        <v>43.03125</v>
      </c>
      <c r="I24" s="50" t="n">
        <v>0</v>
      </c>
      <c r="J24" s="51" t="n">
        <f aca="false">IF(G24 = 0, 0, (H24+I24)/G24)</f>
        <v>0.0439915863295746</v>
      </c>
      <c r="K24" s="52" t="n">
        <v>2228.17</v>
      </c>
      <c r="L24" s="50" t="n">
        <v>0</v>
      </c>
      <c r="M24" s="50" t="n">
        <f aca="false">IF(F24&gt;K24,K24-G24-N24+L24,0)</f>
        <v>1250</v>
      </c>
      <c r="N24" s="50" t="n">
        <v>0</v>
      </c>
      <c r="O24" s="50" t="n">
        <f aca="false">(G24-R24-I24-H24)</f>
        <v>285.72003456734</v>
      </c>
      <c r="P24" s="51" t="n">
        <f aca="false">IF(G24 = 0, 0 , (O24/G24))</f>
        <v>0.29209650118828</v>
      </c>
      <c r="Q24" s="50" t="n">
        <f aca="false">SUM(L24:O24)</f>
        <v>1535.72003456734</v>
      </c>
      <c r="R24" s="50" t="n">
        <f aca="false">F24*((1+$F$4)^(D24/360)-1)</f>
        <v>649.41871543266</v>
      </c>
      <c r="S24" s="51" t="n">
        <f aca="false">R24/G24</f>
        <v>0.663911912482145</v>
      </c>
      <c r="T24" s="50" t="n">
        <f aca="false">L24+M24+O24+R24+H24+I24</f>
        <v>2228.17</v>
      </c>
      <c r="U24" s="50" t="n">
        <f aca="false">F24-O24-M24-L24</f>
        <v>96250.8866899285</v>
      </c>
      <c r="V24" s="2" t="n">
        <v>966.17</v>
      </c>
      <c r="W24" s="2"/>
      <c r="X24" s="53" t="n">
        <f aca="false">IF(V24 &gt; 0, (G24-V24), 0)</f>
        <v>12</v>
      </c>
      <c r="Y24" s="2" t="n">
        <f aca="false">X24*(180-E24)-M24</f>
        <v>850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false" ht="15.75" hidden="false" customHeight="true" outlineLevel="0" collapsed="false">
      <c r="A25" s="45" t="s">
        <v>66</v>
      </c>
      <c r="B25" s="46" t="b">
        <f aca="false">TRUE()</f>
        <v>1</v>
      </c>
      <c r="C25" s="47" t="n">
        <v>46097</v>
      </c>
      <c r="D25" s="48" t="n">
        <f aca="false">C25-C24</f>
        <v>28</v>
      </c>
      <c r="E25" s="49" t="n">
        <v>6</v>
      </c>
      <c r="F25" s="50" t="n">
        <f aca="false">IF(U24&gt;0, U24, 0)</f>
        <v>96250.8866899285</v>
      </c>
      <c r="G25" s="50" t="n">
        <f aca="false">IF(AND(V24&lt;&gt;"", V24&lt;$F$7), V24, G24)</f>
        <v>966.17</v>
      </c>
      <c r="H25" s="50" t="n">
        <f aca="false">IF(F25&gt;$F$7, ($G$2*($F$12/12)), 0)</f>
        <v>43.03125</v>
      </c>
      <c r="I25" s="50" t="n">
        <v>0</v>
      </c>
      <c r="J25" s="51" t="n">
        <f aca="false">IF(G25 = 0, 0, (H25+I25)/G25)</f>
        <v>0.0445379695084716</v>
      </c>
      <c r="K25" s="52" t="n">
        <v>2966.17</v>
      </c>
      <c r="L25" s="50" t="n">
        <v>0</v>
      </c>
      <c r="M25" s="50" t="n">
        <f aca="false">IF(F25&gt;K25,K25-G25-N25+L25,0)</f>
        <v>2000</v>
      </c>
      <c r="N25" s="50" t="n">
        <v>0</v>
      </c>
      <c r="O25" s="50" t="n">
        <f aca="false">(G25-R25-I25-H25)</f>
        <v>345.964088768861</v>
      </c>
      <c r="P25" s="51" t="n">
        <f aca="false">IF(G25 = 0, 0 , (O25/G25))</f>
        <v>0.358077862869745</v>
      </c>
      <c r="Q25" s="50" t="n">
        <f aca="false">SUM(L25:O25)</f>
        <v>2345.96408876886</v>
      </c>
      <c r="R25" s="50" t="n">
        <f aca="false">F25*((1+$F$4)^(D25/360)-1)</f>
        <v>577.174661231139</v>
      </c>
      <c r="S25" s="51" t="n">
        <f aca="false">R25/G25</f>
        <v>0.597384167621784</v>
      </c>
      <c r="T25" s="50" t="n">
        <f aca="false">L25+M25+O25+R25+H25+I25</f>
        <v>2966.17</v>
      </c>
      <c r="U25" s="50" t="n">
        <f aca="false">F25-O25-M25-L25</f>
        <v>93904.9226011597</v>
      </c>
      <c r="V25" s="2" t="n">
        <v>946.91</v>
      </c>
      <c r="W25" s="2"/>
      <c r="X25" s="53" t="n">
        <f aca="false">IF(V25 &gt; 0, (G25-V25), 0)</f>
        <v>19.26</v>
      </c>
      <c r="Y25" s="2" t="n">
        <f aca="false">X25*(180-E25)-M25</f>
        <v>1351.24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false" ht="15.75" hidden="false" customHeight="true" outlineLevel="0" collapsed="false">
      <c r="A26" s="45" t="s">
        <v>66</v>
      </c>
      <c r="B26" s="46" t="b">
        <f aca="false">TRUE()</f>
        <v>1</v>
      </c>
      <c r="C26" s="47" t="n">
        <v>46128</v>
      </c>
      <c r="D26" s="48" t="n">
        <f aca="false">C26-C25</f>
        <v>31</v>
      </c>
      <c r="E26" s="49" t="n">
        <v>7</v>
      </c>
      <c r="F26" s="50" t="n">
        <f aca="false">IF(U25&gt;0, U25, 0)</f>
        <v>93904.9226011597</v>
      </c>
      <c r="G26" s="50" t="n">
        <f aca="false">IF(AND(V25&lt;&gt;"", V25&lt;$F$7), V25, G25)</f>
        <v>946.91</v>
      </c>
      <c r="H26" s="50" t="n">
        <f aca="false">IF(F26&gt;$F$7, ($G$2*($F$12/12)), 0)</f>
        <v>43.03125</v>
      </c>
      <c r="I26" s="50" t="n">
        <v>0</v>
      </c>
      <c r="J26" s="51" t="n">
        <f aca="false">IF(G26 = 0, 0, (H26+I26)/G26)</f>
        <v>0.0454438647812358</v>
      </c>
      <c r="K26" s="52" t="n">
        <f aca="false">946.91+2000</f>
        <v>2946.91</v>
      </c>
      <c r="L26" s="50" t="n">
        <v>0</v>
      </c>
      <c r="M26" s="50" t="n">
        <f aca="false">IF(F26&gt;K26,K26-G26-N26+L26,0)</f>
        <v>2000</v>
      </c>
      <c r="N26" s="50" t="n">
        <v>0</v>
      </c>
      <c r="O26" s="50" t="n">
        <f aca="false">(G26-R26-I26-H26)</f>
        <v>280.239007798251</v>
      </c>
      <c r="P26" s="51" t="n">
        <f aca="false">IF(G26 = 0, 0 , (O26/G26))</f>
        <v>0.295951048989081</v>
      </c>
      <c r="Q26" s="50" t="n">
        <f aca="false">SUM(L26:O26)</f>
        <v>2280.23900779825</v>
      </c>
      <c r="R26" s="50" t="n">
        <f aca="false">F26*((1+$F$4)^(D26/360)-1)</f>
        <v>623.639742201749</v>
      </c>
      <c r="S26" s="51" t="n">
        <f aca="false">R26/G26</f>
        <v>0.658605086229683</v>
      </c>
      <c r="T26" s="50" t="n">
        <f aca="false">L26+M26+O26+R26+H26+I26</f>
        <v>2946.91</v>
      </c>
      <c r="U26" s="50" t="n">
        <f aca="false">F26-O26-M26-L26</f>
        <v>91624.6835933614</v>
      </c>
      <c r="V26" s="2" t="n">
        <v>927.59</v>
      </c>
      <c r="W26" s="2"/>
      <c r="X26" s="53" t="n">
        <f aca="false">IF(V26 &gt; 0, (G26-V26), 0)</f>
        <v>19.3199999999999</v>
      </c>
      <c r="Y26" s="2" t="n">
        <f aca="false">X26*(180-E26)-M26</f>
        <v>1342.35999999999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false" ht="15.75" hidden="false" customHeight="true" outlineLevel="0" collapsed="false">
      <c r="A27" s="45" t="s">
        <v>66</v>
      </c>
      <c r="B27" s="46" t="b">
        <f aca="false">TRUE()</f>
        <v>1</v>
      </c>
      <c r="C27" s="47" t="n">
        <v>46158</v>
      </c>
      <c r="D27" s="48" t="n">
        <f aca="false">C27-C26</f>
        <v>30</v>
      </c>
      <c r="E27" s="49" t="n">
        <v>8</v>
      </c>
      <c r="F27" s="50" t="n">
        <f aca="false">IF(U26&gt;0, U26, 0)</f>
        <v>91624.6835933614</v>
      </c>
      <c r="G27" s="50" t="n">
        <f aca="false">IF(AND(V26&lt;&gt;"", V26&lt;$F$7), V26, G26)</f>
        <v>927.59</v>
      </c>
      <c r="H27" s="50" t="n">
        <f aca="false">IF(F27&gt;$F$7, ($G$2*($F$12/12)), 0)</f>
        <v>43.03125</v>
      </c>
      <c r="I27" s="50" t="n">
        <v>0</v>
      </c>
      <c r="J27" s="51" t="n">
        <f aca="false">IF(G27 = 0, 0, (H27+I27)/G27)</f>
        <v>0.0463903772140709</v>
      </c>
      <c r="K27" s="52" t="n">
        <f aca="false">927.59+4000</f>
        <v>4927.59</v>
      </c>
      <c r="L27" s="50" t="n">
        <v>0</v>
      </c>
      <c r="M27" s="50" t="n">
        <f aca="false">IF(F27&gt;K27,K27-G27-N27+L27,0)</f>
        <v>3961.01</v>
      </c>
      <c r="N27" s="50" t="n">
        <v>38.99</v>
      </c>
      <c r="O27" s="50" t="n">
        <f aca="false">(G27-R27-I27-H27)</f>
        <v>295.754336456285</v>
      </c>
      <c r="P27" s="51" t="n">
        <f aca="false">IF(G27 = 0, 0 , (O27/G27))</f>
        <v>0.318841661139388</v>
      </c>
      <c r="Q27" s="50" t="n">
        <f aca="false">SUM(L27:O27)</f>
        <v>4295.75433645629</v>
      </c>
      <c r="R27" s="50" t="n">
        <f aca="false">F27*((1+$F$4)^(D27/360)-1)</f>
        <v>588.804413543715</v>
      </c>
      <c r="S27" s="51" t="n">
        <f aca="false">R27/G27</f>
        <v>0.634767961646541</v>
      </c>
      <c r="T27" s="50" t="n">
        <f aca="false">L27+M27+O27+R27+H27+I27</f>
        <v>4888.6</v>
      </c>
      <c r="U27" s="50" t="n">
        <f aca="false">F27-O27-M27-L27</f>
        <v>87367.9192569051</v>
      </c>
      <c r="V27" s="2" t="n">
        <v>888.85</v>
      </c>
      <c r="W27" s="2"/>
      <c r="X27" s="53" t="n">
        <f aca="false">IF(V27 &gt; 0, (G27-V27), 0)</f>
        <v>38.74</v>
      </c>
      <c r="Y27" s="2" t="n">
        <f aca="false">X27*(180-E27)-M27</f>
        <v>2702.27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false" ht="15.75" hidden="false" customHeight="true" outlineLevel="0" collapsed="false">
      <c r="A28" s="45" t="s">
        <v>66</v>
      </c>
      <c r="B28" s="46" t="b">
        <f aca="false">TRUE()</f>
        <v>1</v>
      </c>
      <c r="C28" s="47" t="n">
        <v>46189</v>
      </c>
      <c r="D28" s="48" t="n">
        <f aca="false">C28-C27</f>
        <v>31</v>
      </c>
      <c r="E28" s="49" t="n">
        <v>9</v>
      </c>
      <c r="F28" s="50" t="n">
        <f aca="false">IF(U27&gt;0, U27, 0)</f>
        <v>87367.9192569051</v>
      </c>
      <c r="G28" s="50" t="n">
        <f aca="false">IF(AND(V27&lt;&gt;"", V27&lt;$F$7), V27, G27)</f>
        <v>888.85</v>
      </c>
      <c r="H28" s="50" t="n">
        <f aca="false">IF(F28&gt;$F$7, ($G$2*($F$12/12)), 0)</f>
        <v>43.03125</v>
      </c>
      <c r="I28" s="50" t="n">
        <v>0</v>
      </c>
      <c r="J28" s="51" t="n">
        <f aca="false">IF(G28 = 0, 0, (H28+I28)/G28)</f>
        <v>0.0484122742870001</v>
      </c>
      <c r="K28" s="52" t="n">
        <f aca="false">G28</f>
        <v>888.85</v>
      </c>
      <c r="L28" s="50" t="n">
        <v>0</v>
      </c>
      <c r="M28" s="50" t="n">
        <f aca="false">IF(F28&gt;K28,K28-G28-N28+L28,0)</f>
        <v>0</v>
      </c>
      <c r="N28" s="50" t="n">
        <v>0</v>
      </c>
      <c r="O28" s="50" t="n">
        <f aca="false">(G28-R28-I28-H28)</f>
        <v>265.592440954443</v>
      </c>
      <c r="P28" s="51" t="n">
        <f aca="false">IF(G28 = 0, 0 , (O28/G28))</f>
        <v>0.298804568773632</v>
      </c>
      <c r="Q28" s="50" t="n">
        <f aca="false">SUM(L28:O28)</f>
        <v>265.592440954443</v>
      </c>
      <c r="R28" s="50" t="n">
        <f aca="false">F28*((1+$F$4)^(D28/360)-1)</f>
        <v>580.226309045557</v>
      </c>
      <c r="S28" s="51" t="n">
        <f aca="false">R28/G28</f>
        <v>0.652783156939368</v>
      </c>
      <c r="T28" s="50" t="n">
        <f aca="false">L28+M28+O28+R28+H28+I28</f>
        <v>888.85</v>
      </c>
      <c r="U28" s="50" t="n">
        <f aca="false">F28-O28-M28-L28</f>
        <v>87102.3268159507</v>
      </c>
      <c r="V28" s="2"/>
      <c r="W28" s="2"/>
      <c r="X28" s="2" t="n">
        <f aca="false">IF(V28 &gt; 0, (G28-V28), 0)</f>
        <v>0</v>
      </c>
      <c r="Y28" s="2" t="n">
        <f aca="false">X28*(180-E28)-M28</f>
        <v>0</v>
      </c>
      <c r="Z28" s="2"/>
      <c r="AA28" s="2"/>
      <c r="AB28" s="2"/>
      <c r="AC28" s="2"/>
      <c r="AD28" s="54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false" ht="15.75" hidden="false" customHeight="true" outlineLevel="0" collapsed="false">
      <c r="A29" s="45" t="s">
        <v>66</v>
      </c>
      <c r="B29" s="46" t="b">
        <f aca="false">TRUE()</f>
        <v>1</v>
      </c>
      <c r="C29" s="47" t="n">
        <v>46219</v>
      </c>
      <c r="D29" s="48" t="n">
        <f aca="false">C29-C28</f>
        <v>30</v>
      </c>
      <c r="E29" s="49" t="n">
        <v>10</v>
      </c>
      <c r="F29" s="50" t="n">
        <f aca="false">IF(U28&gt;0, U28, 0)</f>
        <v>87102.3268159507</v>
      </c>
      <c r="G29" s="50" t="n">
        <f aca="false">IF(AND(V28&lt;&gt;"", V28&lt;$F$7), V28, G28)</f>
        <v>888.85</v>
      </c>
      <c r="H29" s="50" t="n">
        <f aca="false">IF(F29&gt;$F$7, ($G$2*($F$12/12)), 0)</f>
        <v>43.03125</v>
      </c>
      <c r="I29" s="50" t="n">
        <v>0</v>
      </c>
      <c r="J29" s="51" t="n">
        <f aca="false">IF(G29 = 0, 0, (H29+I29)/G29)</f>
        <v>0.0484122742870001</v>
      </c>
      <c r="K29" s="52" t="n">
        <f aca="false">G29+5000</f>
        <v>5888.85</v>
      </c>
      <c r="L29" s="50" t="n">
        <v>0</v>
      </c>
      <c r="M29" s="50" t="n">
        <f aca="false">IF(F29&gt;K29,K29-G29-N29+L29,0)</f>
        <v>5000</v>
      </c>
      <c r="N29" s="50" t="n">
        <v>0</v>
      </c>
      <c r="O29" s="50" t="n">
        <f aca="false">(G29-R29-I29-H29)</f>
        <v>286.076195397882</v>
      </c>
      <c r="P29" s="51" t="n">
        <f aca="false">IF(G29 = 0, 0 , (O29/G29))</f>
        <v>0.321849800751401</v>
      </c>
      <c r="Q29" s="50" t="n">
        <f aca="false">SUM(L29:O29)</f>
        <v>5286.07619539788</v>
      </c>
      <c r="R29" s="50" t="n">
        <f aca="false">F29*((1+$F$4)^(D29/360)-1)</f>
        <v>559.742554602118</v>
      </c>
      <c r="S29" s="51" t="n">
        <f aca="false">R29/G29</f>
        <v>0.629737924961599</v>
      </c>
      <c r="T29" s="50" t="n">
        <f aca="false">L29+M29+O29+R29+H29+I29</f>
        <v>5888.85</v>
      </c>
      <c r="U29" s="50" t="n">
        <f aca="false">F29-O29-M29-L29</f>
        <v>81816.2506205528</v>
      </c>
      <c r="V29" s="2" t="n">
        <v>840.1</v>
      </c>
      <c r="W29" s="2"/>
      <c r="X29" s="53" t="n">
        <f aca="false">IF(V29 &gt; 0, (G29-V29), 0)</f>
        <v>48.75</v>
      </c>
      <c r="Y29" s="2" t="n">
        <f aca="false">X29*(180-E29)-M29</f>
        <v>3287.5</v>
      </c>
      <c r="Z29" s="2"/>
      <c r="AA29" s="2"/>
      <c r="AB29" s="2"/>
      <c r="AC29" s="2"/>
      <c r="AD29" s="54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false" ht="15.75" hidden="false" customHeight="true" outlineLevel="0" collapsed="false">
      <c r="A30" s="45" t="s">
        <v>66</v>
      </c>
      <c r="B30" s="46" t="b">
        <f aca="false">FALSE()</f>
        <v>0</v>
      </c>
      <c r="C30" s="47" t="n">
        <v>46250</v>
      </c>
      <c r="D30" s="48" t="n">
        <f aca="false">C30-C29</f>
        <v>31</v>
      </c>
      <c r="E30" s="49" t="n">
        <v>11</v>
      </c>
      <c r="F30" s="50" t="n">
        <f aca="false">IF(U29&gt;0, U29, 0)</f>
        <v>81816.2506205528</v>
      </c>
      <c r="G30" s="50" t="n">
        <f aca="false">IF(AND(V29&lt;&gt;"", V29&lt;$F$7), V29, G29)</f>
        <v>840.1</v>
      </c>
      <c r="H30" s="50" t="n">
        <f aca="false">IF(F30&gt;$F$7, ($G$2*($F$12/12)), 0)</f>
        <v>43.03125</v>
      </c>
      <c r="I30" s="50" t="n">
        <v>0</v>
      </c>
      <c r="J30" s="51" t="n">
        <f aca="false">IF(G30 = 0, 0, (H30+I30)/G30)</f>
        <v>0.0512215807641947</v>
      </c>
      <c r="K30" s="52" t="n">
        <f aca="false">G30</f>
        <v>840.1</v>
      </c>
      <c r="L30" s="50" t="n">
        <v>0</v>
      </c>
      <c r="M30" s="50" t="n">
        <f aca="false">IF(F30&gt;K30,K30-G30-N30+L30,0)</f>
        <v>0</v>
      </c>
      <c r="N30" s="50" t="n">
        <v>0</v>
      </c>
      <c r="O30" s="50" t="n">
        <f aca="false">(G30-R30-I30-H30)</f>
        <v>253.712086349599</v>
      </c>
      <c r="P30" s="51" t="n">
        <f aca="false">IF(G30 = 0, 0 , (O30/G30))</f>
        <v>0.302002245386976</v>
      </c>
      <c r="Q30" s="50" t="n">
        <f aca="false">SUM(L30:O30)</f>
        <v>253.712086349599</v>
      </c>
      <c r="R30" s="50" t="n">
        <f aca="false">F30*((1+$F$4)^(D30/360)-1)</f>
        <v>543.356663650401</v>
      </c>
      <c r="S30" s="51" t="n">
        <f aca="false">R30/G30</f>
        <v>0.646776173848829</v>
      </c>
      <c r="T30" s="50" t="n">
        <f aca="false">L30+M30+O30+R30+H30+I30</f>
        <v>840.1</v>
      </c>
      <c r="U30" s="50" t="n">
        <f aca="false">F30-O30-M30-L30</f>
        <v>81562.5385342032</v>
      </c>
      <c r="V30" s="2" t="str">
        <f aca="false">IF(M30&gt;0, ROUND(PMT($F$9,$F$10-E30-2,-U30)+$G$2*$F$12/12, 2), "")</f>
        <v/>
      </c>
      <c r="W30" s="2"/>
      <c r="X30" s="2" t="e">
        <f aca="false">IF(V30 &gt; 0, (G30-V30), 0)</f>
        <v>#VALUE!</v>
      </c>
      <c r="Y30" s="2" t="e">
        <f aca="false">X30*(180-E30)-M30</f>
        <v>#VALUE!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false" ht="15.75" hidden="false" customHeight="true" outlineLevel="0" collapsed="false">
      <c r="A31" s="55" t="s">
        <v>66</v>
      </c>
      <c r="B31" s="56" t="b">
        <f aca="false">FALSE()</f>
        <v>0</v>
      </c>
      <c r="C31" s="57" t="n">
        <v>46281</v>
      </c>
      <c r="D31" s="58" t="n">
        <f aca="false">C31-C30</f>
        <v>31</v>
      </c>
      <c r="E31" s="59" t="n">
        <v>12</v>
      </c>
      <c r="F31" s="60" t="n">
        <f aca="false">IF(U30&gt;0, U30, 0)</f>
        <v>81562.5385342032</v>
      </c>
      <c r="G31" s="60" t="n">
        <f aca="false">IF(AND(V30&lt;&gt;"", V30&lt;$F$7), V30, G30)</f>
        <v>840.1</v>
      </c>
      <c r="H31" s="60" t="n">
        <f aca="false">IF(F31&gt;$F$7, ($G$2*($F$12/12)), 0)</f>
        <v>43.03125</v>
      </c>
      <c r="I31" s="60" t="n">
        <v>0</v>
      </c>
      <c r="J31" s="60" t="n">
        <f aca="false">IF(G31 = 0, 0, (H31+I31)/G31)</f>
        <v>0.0512215807641947</v>
      </c>
      <c r="K31" s="60" t="n">
        <f aca="false">G31</f>
        <v>840.1</v>
      </c>
      <c r="L31" s="60" t="n">
        <v>0</v>
      </c>
      <c r="M31" s="60" t="n">
        <f aca="false">IF(F31&gt;K31,K31-G31-N31+L31,0)</f>
        <v>0</v>
      </c>
      <c r="N31" s="60" t="n">
        <v>0</v>
      </c>
      <c r="O31" s="60" t="n">
        <f aca="false">(G31-R31-I31-H31)</f>
        <v>255.397034654136</v>
      </c>
      <c r="P31" s="60" t="n">
        <f aca="false">IF(G31 = 0, 0 , (O31/G31))</f>
        <v>0.304007897457608</v>
      </c>
      <c r="Q31" s="60" t="n">
        <f aca="false">SUM(L31:O31)</f>
        <v>255.397034654136</v>
      </c>
      <c r="R31" s="60" t="n">
        <f aca="false">F31*((1+$F$4)^(D31/360)-1)</f>
        <v>541.671715345864</v>
      </c>
      <c r="S31" s="51" t="n">
        <f aca="false">R31/G31</f>
        <v>0.644770521778198</v>
      </c>
      <c r="T31" s="60" t="n">
        <f aca="false">L31+M31+O31+R31+H31+I31</f>
        <v>840.1</v>
      </c>
      <c r="U31" s="60" t="n">
        <f aca="false">F31-O31-M31-L31</f>
        <v>81307.1414995491</v>
      </c>
      <c r="V31" s="61" t="str">
        <f aca="false">IF(M31&gt;0, ROUND(PMT($F$9,$F$10-E31-2,-U31)+$G$2*$F$12/12, 2), "")</f>
        <v/>
      </c>
      <c r="W31" s="61" t="s">
        <v>69</v>
      </c>
      <c r="X31" s="2" t="e">
        <f aca="false">IF(V31 &gt; 0, (G31-V31), 0)</f>
        <v>#VALUE!</v>
      </c>
      <c r="Y31" s="2" t="e">
        <f aca="false">X31*(180-E31)-M31</f>
        <v>#VALUE!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false" ht="15.75" hidden="false" customHeight="true" outlineLevel="0" collapsed="false">
      <c r="A32" s="45" t="s">
        <v>66</v>
      </c>
      <c r="B32" s="46" t="b">
        <f aca="false">FALSE()</f>
        <v>0</v>
      </c>
      <c r="C32" s="47" t="n">
        <v>46311</v>
      </c>
      <c r="D32" s="48" t="n">
        <f aca="false">C32-C31</f>
        <v>30</v>
      </c>
      <c r="E32" s="49" t="n">
        <v>13</v>
      </c>
      <c r="F32" s="50" t="n">
        <f aca="false">IF(U31&gt;0, U31, 0)</f>
        <v>81307.1414995491</v>
      </c>
      <c r="G32" s="50" t="n">
        <f aca="false">IF(AND(V31&lt;&gt;"", V31&lt;$F$7), V31, G31)</f>
        <v>840.1</v>
      </c>
      <c r="H32" s="50" t="n">
        <f aca="false">IF(F32&gt;$F$7, ($G$2*($F$12/12)), 0)</f>
        <v>43.03125</v>
      </c>
      <c r="I32" s="50" t="n">
        <v>0</v>
      </c>
      <c r="J32" s="51" t="n">
        <f aca="false">IF(G32 = 0, 0, (H32+I32)/G32)</f>
        <v>0.0512215807641947</v>
      </c>
      <c r="K32" s="52" t="n">
        <f aca="false">G32</f>
        <v>840.1</v>
      </c>
      <c r="L32" s="50" t="n">
        <v>0</v>
      </c>
      <c r="M32" s="50" t="n">
        <f aca="false">IF(F32&gt;K32,K32-G32-N32+L32,0)</f>
        <v>0</v>
      </c>
      <c r="N32" s="50" t="n">
        <v>0</v>
      </c>
      <c r="O32" s="50" t="n">
        <f aca="false">(G32-R32-I32-H32)</f>
        <v>274.567586666908</v>
      </c>
      <c r="P32" s="51" t="n">
        <f aca="false">IF(G32 = 0, 0 , (O32/G32))</f>
        <v>0.326827266595533</v>
      </c>
      <c r="Q32" s="50" t="n">
        <f aca="false">SUM(L32:O32)</f>
        <v>274.567586666908</v>
      </c>
      <c r="R32" s="50" t="n">
        <f aca="false">F32*((1+$F$4)^(D32/360)-1)</f>
        <v>522.501163333092</v>
      </c>
      <c r="S32" s="51" t="n">
        <f aca="false">R32/G32</f>
        <v>0.621951152640272</v>
      </c>
      <c r="T32" s="50" t="n">
        <f aca="false">L32+M32+O32+R32+H32+I32</f>
        <v>840.1</v>
      </c>
      <c r="U32" s="50" t="n">
        <f aca="false">F32-O32-M32-L32</f>
        <v>81032.5739128822</v>
      </c>
      <c r="V32" s="2" t="str">
        <f aca="false">IF(M32&gt;0, ROUND(PMT($F$9,$F$10-E32-2,-U32)+$G$2*$F$12/12, 2), "")</f>
        <v/>
      </c>
      <c r="W32" s="2"/>
      <c r="X32" s="2" t="e">
        <f aca="false">IF(V32 &gt; 0, (G32-V32), 0)</f>
        <v>#VALUE!</v>
      </c>
      <c r="Y32" s="2" t="e">
        <f aca="false">X32*(180-E32)-M32</f>
        <v>#VALUE!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false" ht="15.75" hidden="false" customHeight="true" outlineLevel="0" collapsed="false">
      <c r="A33" s="45" t="s">
        <v>66</v>
      </c>
      <c r="B33" s="46" t="b">
        <f aca="false">FALSE()</f>
        <v>0</v>
      </c>
      <c r="C33" s="47" t="n">
        <v>46342</v>
      </c>
      <c r="D33" s="48" t="n">
        <f aca="false">C33-C32</f>
        <v>31</v>
      </c>
      <c r="E33" s="49" t="n">
        <v>14</v>
      </c>
      <c r="F33" s="50" t="n">
        <f aca="false">IF(U32&gt;0, U32, 0)</f>
        <v>81032.5739128822</v>
      </c>
      <c r="G33" s="50" t="n">
        <f aca="false">IF(AND(V32&lt;&gt;"", V32&lt;$F$7), V32, G32)</f>
        <v>840.1</v>
      </c>
      <c r="H33" s="50" t="n">
        <f aca="false">IF(F33&gt;$F$7, ($G$2*($F$12/12)), 0)</f>
        <v>43.03125</v>
      </c>
      <c r="I33" s="50" t="n">
        <v>0</v>
      </c>
      <c r="J33" s="51" t="n">
        <f aca="false">IF(G33 = 0, 0, (H33+I33)/G33)</f>
        <v>0.0512215807641947</v>
      </c>
      <c r="K33" s="52" t="n">
        <f aca="false">G33</f>
        <v>840.1</v>
      </c>
      <c r="L33" s="50" t="n">
        <v>0</v>
      </c>
      <c r="M33" s="50" t="n">
        <f aca="false">IF(F33&gt;K33,K33-G33-N33+L33,0)</f>
        <v>0</v>
      </c>
      <c r="N33" s="50" t="n">
        <v>0</v>
      </c>
      <c r="O33" s="50" t="n">
        <f aca="false">(G33-R33-I33-H33)</f>
        <v>258.916626499395</v>
      </c>
      <c r="P33" s="51" t="n">
        <f aca="false">IF(G33 = 0, 0 , (O33/G33))</f>
        <v>0.308197389000589</v>
      </c>
      <c r="Q33" s="50" t="n">
        <f aca="false">SUM(L33:O33)</f>
        <v>258.916626499395</v>
      </c>
      <c r="R33" s="50" t="n">
        <f aca="false">F33*((1+$F$4)^(D33/360)-1)</f>
        <v>538.152123500605</v>
      </c>
      <c r="S33" s="51" t="n">
        <f aca="false">R33/G33</f>
        <v>0.640581030235216</v>
      </c>
      <c r="T33" s="50" t="n">
        <f aca="false">L33+M33+O33+R33+H33+I33</f>
        <v>840.1</v>
      </c>
      <c r="U33" s="50" t="n">
        <f aca="false">F33-O33-M33-L33</f>
        <v>80773.6572863828</v>
      </c>
      <c r="V33" s="2" t="str">
        <f aca="false">IF(M33&gt;0, ROUND(PMT($F$9,$F$10-E33-2,-U33)+$G$2*$F$12/12, 2), "")</f>
        <v/>
      </c>
      <c r="W33" s="2"/>
      <c r="X33" s="2" t="e">
        <f aca="false">IF(V33 &gt; 0, (G33-V33), 0)</f>
        <v>#VALUE!</v>
      </c>
      <c r="Y33" s="2" t="e">
        <f aca="false">X33*(180-E33)-M33</f>
        <v>#VALUE!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false" ht="15.75" hidden="false" customHeight="true" outlineLevel="0" collapsed="false">
      <c r="A34" s="45" t="s">
        <v>66</v>
      </c>
      <c r="B34" s="46" t="b">
        <f aca="false">FALSE()</f>
        <v>0</v>
      </c>
      <c r="C34" s="47" t="n">
        <v>46372</v>
      </c>
      <c r="D34" s="48" t="n">
        <f aca="false">C34-C33</f>
        <v>30</v>
      </c>
      <c r="E34" s="49" t="n">
        <v>15</v>
      </c>
      <c r="F34" s="50" t="n">
        <f aca="false">IF(U33&gt;0, U33, 0)</f>
        <v>80773.6572863828</v>
      </c>
      <c r="G34" s="50" t="n">
        <f aca="false">IF(AND(V33&lt;&gt;"", V33&lt;$F$7), V33, G33)</f>
        <v>840.1</v>
      </c>
      <c r="H34" s="50" t="n">
        <f aca="false">IF(F34&gt;$F$7, ($G$2*($F$12/12)), 0)</f>
        <v>43.03125</v>
      </c>
      <c r="I34" s="50" t="n">
        <v>0</v>
      </c>
      <c r="J34" s="51" t="n">
        <f aca="false">IF(G34 = 0, 0, (H34+I34)/G34)</f>
        <v>0.0512215807641947</v>
      </c>
      <c r="K34" s="52" t="n">
        <f aca="false">G34</f>
        <v>840.1</v>
      </c>
      <c r="L34" s="50" t="n">
        <v>0</v>
      </c>
      <c r="M34" s="50" t="n">
        <f aca="false">IF(F34&gt;K34,K34-G34-N34+L34,0)</f>
        <v>0</v>
      </c>
      <c r="N34" s="50" t="n">
        <v>0</v>
      </c>
      <c r="O34" s="50" t="n">
        <f aca="false">(G34-R34-I34-H34)</f>
        <v>277.99589710629</v>
      </c>
      <c r="P34" s="51" t="n">
        <f aca="false">IF(G34 = 0, 0 , (O34/G34))</f>
        <v>0.330908102733353</v>
      </c>
      <c r="Q34" s="50" t="n">
        <f aca="false">SUM(L34:O34)</f>
        <v>277.99589710629</v>
      </c>
      <c r="R34" s="50" t="n">
        <f aca="false">F34*((1+$F$4)^(D34/360)-1)</f>
        <v>519.07285289371</v>
      </c>
      <c r="S34" s="51" t="n">
        <f aca="false">R34/G34</f>
        <v>0.617870316502452</v>
      </c>
      <c r="T34" s="50" t="n">
        <f aca="false">L34+M34+O34+R34+H34+I34</f>
        <v>840.1</v>
      </c>
      <c r="U34" s="50" t="n">
        <f aca="false">F34-O34-M34-L34</f>
        <v>80495.6613892765</v>
      </c>
      <c r="V34" s="2" t="str">
        <f aca="false">IF(M34&gt;0, ROUND(PMT($F$9,$F$10-E34-2,-U34)+$G$2*$F$12/12, 2), "")</f>
        <v/>
      </c>
      <c r="W34" s="2"/>
      <c r="X34" s="2" t="e">
        <f aca="false">IF(V34 &gt; 0, (G34-V34), 0)</f>
        <v>#VALUE!</v>
      </c>
      <c r="Y34" s="2" t="e">
        <f aca="false">X34*(180-E34)-M34</f>
        <v>#VALUE!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false" ht="15.75" hidden="false" customHeight="true" outlineLevel="0" collapsed="false">
      <c r="A35" s="45" t="s">
        <v>66</v>
      </c>
      <c r="B35" s="46" t="b">
        <f aca="false">FALSE()</f>
        <v>0</v>
      </c>
      <c r="C35" s="47" t="n">
        <v>46403</v>
      </c>
      <c r="D35" s="48" t="n">
        <f aca="false">C35-C34</f>
        <v>31</v>
      </c>
      <c r="E35" s="49" t="n">
        <v>16</v>
      </c>
      <c r="F35" s="50" t="n">
        <f aca="false">IF(U34&gt;0, U34, 0)</f>
        <v>80495.6613892765</v>
      </c>
      <c r="G35" s="50" t="n">
        <f aca="false">IF(AND(V34&lt;&gt;"", V34&lt;$F$7), V34, G34)</f>
        <v>840.1</v>
      </c>
      <c r="H35" s="50" t="n">
        <f aca="false">IF(F35&gt;$F$7, ($G$2*($F$12/12)), 0)</f>
        <v>43.03125</v>
      </c>
      <c r="I35" s="50" t="n">
        <v>0</v>
      </c>
      <c r="J35" s="51" t="n">
        <f aca="false">IF(G35 = 0, 0, (H35+I35)/G35)</f>
        <v>0.0512215807641947</v>
      </c>
      <c r="K35" s="52" t="n">
        <f aca="false">G35</f>
        <v>840.1</v>
      </c>
      <c r="L35" s="50" t="n">
        <v>0</v>
      </c>
      <c r="M35" s="50" t="n">
        <f aca="false">IF(F35&gt;K35,K35-G35-N35+L35,0)</f>
        <v>0</v>
      </c>
      <c r="N35" s="50" t="n">
        <v>0</v>
      </c>
      <c r="O35" s="50" t="n">
        <f aca="false">(G35-R35-I35-H35)</f>
        <v>262.482360632721</v>
      </c>
      <c r="P35" s="51" t="n">
        <f aca="false">IF(G35 = 0, 0 , (O35/G35))</f>
        <v>0.312441805300228</v>
      </c>
      <c r="Q35" s="50" t="n">
        <f aca="false">SUM(L35:O35)</f>
        <v>262.482360632721</v>
      </c>
      <c r="R35" s="50" t="n">
        <f aca="false">F35*((1+$F$4)^(D35/360)-1)</f>
        <v>534.586389367279</v>
      </c>
      <c r="S35" s="51" t="n">
        <f aca="false">R35/G35</f>
        <v>0.636336613935577</v>
      </c>
      <c r="T35" s="50" t="n">
        <f aca="false">L35+M35+O35+R35+H35+I35</f>
        <v>840.1</v>
      </c>
      <c r="U35" s="50" t="n">
        <f aca="false">F35-O35-M35-L35</f>
        <v>80233.1790286438</v>
      </c>
      <c r="V35" s="2" t="str">
        <f aca="false">IF(M35&gt;0, ROUND(PMT($F$9,$F$10-E35-2,-U35)+$G$2*$F$12/12, 2), "")</f>
        <v/>
      </c>
      <c r="W35" s="2"/>
      <c r="X35" s="2" t="e">
        <f aca="false">IF(V35 &gt; 0, (G35-V35), 0)</f>
        <v>#VALUE!</v>
      </c>
      <c r="Y35" s="2" t="e">
        <f aca="false">X35*(180-E35)-M35</f>
        <v>#VALUE!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customFormat="false" ht="15.75" hidden="false" customHeight="true" outlineLevel="0" collapsed="false">
      <c r="A36" s="45" t="s">
        <v>66</v>
      </c>
      <c r="B36" s="46" t="b">
        <f aca="false">FALSE()</f>
        <v>0</v>
      </c>
      <c r="C36" s="47" t="n">
        <v>46434</v>
      </c>
      <c r="D36" s="48" t="n">
        <f aca="false">C36-C35</f>
        <v>31</v>
      </c>
      <c r="E36" s="49" t="n">
        <v>17</v>
      </c>
      <c r="F36" s="50" t="n">
        <f aca="false">IF(U35&gt;0, U35, 0)</f>
        <v>80233.1790286438</v>
      </c>
      <c r="G36" s="50" t="n">
        <f aca="false">IF(AND(V35&lt;&gt;"", V35&lt;$F$7), V35, G35)</f>
        <v>840.1</v>
      </c>
      <c r="H36" s="50" t="n">
        <f aca="false">IF(F36&gt;$F$7, ($G$2*($F$12/12)), 0)</f>
        <v>43.03125</v>
      </c>
      <c r="I36" s="50" t="n">
        <v>0</v>
      </c>
      <c r="J36" s="51" t="n">
        <f aca="false">IF(G36 = 0, 0, (H36+I36)/G36)</f>
        <v>0.0512215807641947</v>
      </c>
      <c r="K36" s="52" t="n">
        <f aca="false">G36</f>
        <v>840.1</v>
      </c>
      <c r="L36" s="50" t="n">
        <v>0</v>
      </c>
      <c r="M36" s="50" t="n">
        <f aca="false">IF(F36&gt;K36,K36-G36-N36+L36,0)</f>
        <v>0</v>
      </c>
      <c r="N36" s="50" t="n">
        <v>0</v>
      </c>
      <c r="O36" s="50" t="n">
        <f aca="false">(G36-R36-I36-H36)</f>
        <v>264.225553930614</v>
      </c>
      <c r="P36" s="51" t="n">
        <f aca="false">IF(G36 = 0, 0 , (O36/G36))</f>
        <v>0.31451678839497</v>
      </c>
      <c r="Q36" s="50" t="n">
        <f aca="false">SUM(L36:O36)</f>
        <v>264.225553930614</v>
      </c>
      <c r="R36" s="50" t="n">
        <f aca="false">F36*((1+$F$4)^(D36/360)-1)</f>
        <v>532.843196069386</v>
      </c>
      <c r="S36" s="51" t="n">
        <f aca="false">R36/G36</f>
        <v>0.634261630840835</v>
      </c>
      <c r="T36" s="50" t="n">
        <f aca="false">L36+M36+O36+R36+H36+I36</f>
        <v>840.1</v>
      </c>
      <c r="U36" s="50" t="n">
        <f aca="false">F36-O36-M36-L36</f>
        <v>79968.9534747131</v>
      </c>
      <c r="V36" s="2" t="str">
        <f aca="false">IF(M36&gt;0, ROUND(PMT($F$9,$F$10-E36-2,-U36)+$G$2*$F$12/12, 2), "")</f>
        <v/>
      </c>
      <c r="W36" s="2"/>
      <c r="X36" s="2" t="e">
        <f aca="false">IF(V36 &gt; 0, (G36-V36), 0)</f>
        <v>#VALUE!</v>
      </c>
      <c r="Y36" s="2" t="e">
        <f aca="false">X36*(180-E36)-M36</f>
        <v>#VALUE!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customFormat="false" ht="15.75" hidden="false" customHeight="true" outlineLevel="0" collapsed="false">
      <c r="A37" s="45" t="s">
        <v>66</v>
      </c>
      <c r="B37" s="46" t="b">
        <f aca="false">FALSE()</f>
        <v>0</v>
      </c>
      <c r="C37" s="47" t="n">
        <v>46462</v>
      </c>
      <c r="D37" s="48" t="n">
        <f aca="false">C37-C36</f>
        <v>28</v>
      </c>
      <c r="E37" s="49" t="n">
        <v>18</v>
      </c>
      <c r="F37" s="50" t="n">
        <f aca="false">IF(U36&gt;0, U36, 0)</f>
        <v>79968.9534747131</v>
      </c>
      <c r="G37" s="50" t="n">
        <f aca="false">IF(AND(V36&lt;&gt;"", V36&lt;$F$7), V36, G36)</f>
        <v>840.1</v>
      </c>
      <c r="H37" s="50" t="n">
        <f aca="false">IF(F37&gt;$F$7, ($G$2*($F$12/12)), 0)</f>
        <v>43.03125</v>
      </c>
      <c r="I37" s="50" t="n">
        <v>0</v>
      </c>
      <c r="J37" s="51" t="n">
        <f aca="false">IF(G37 = 0, 0, (H37+I37)/G37)</f>
        <v>0.0512215807641947</v>
      </c>
      <c r="K37" s="52" t="n">
        <f aca="false">G37</f>
        <v>840.1</v>
      </c>
      <c r="L37" s="50" t="n">
        <v>0</v>
      </c>
      <c r="M37" s="50" t="n">
        <f aca="false">IF(F37&gt;K37,K37-G37-N37+L37,0)</f>
        <v>0</v>
      </c>
      <c r="N37" s="50" t="n">
        <v>0</v>
      </c>
      <c r="O37" s="50" t="n">
        <f aca="false">(G37-R37-I37-H37)</f>
        <v>317.529753341532</v>
      </c>
      <c r="P37" s="51" t="n">
        <f aca="false">IF(G37 = 0, 0 , (O37/G37))</f>
        <v>0.377966615095264</v>
      </c>
      <c r="Q37" s="50" t="n">
        <f aca="false">SUM(L37:O37)</f>
        <v>317.529753341532</v>
      </c>
      <c r="R37" s="50" t="n">
        <f aca="false">F37*((1+$F$4)^(D37/360)-1)</f>
        <v>479.538996658469</v>
      </c>
      <c r="S37" s="51" t="n">
        <f aca="false">R37/G37</f>
        <v>0.570811804140541</v>
      </c>
      <c r="T37" s="50" t="n">
        <f aca="false">L37+M37+O37+R37+H37+I37</f>
        <v>840.1</v>
      </c>
      <c r="U37" s="50" t="n">
        <f aca="false">F37-O37-M37-L37</f>
        <v>79651.4237213716</v>
      </c>
      <c r="V37" s="2" t="str">
        <f aca="false">IF(M37&gt;0, ROUND(PMT($F$9,$F$10-E37-2,-U37)+$G$2*$F$12/12, 2), "")</f>
        <v/>
      </c>
      <c r="W37" s="2"/>
      <c r="X37" s="2" t="e">
        <f aca="false">IF(V37 &gt; 0, (G37-V37), 0)</f>
        <v>#VALUE!</v>
      </c>
      <c r="Y37" s="2" t="e">
        <f aca="false">X37*(180-E37)-M37</f>
        <v>#VALUE!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customFormat="false" ht="15.75" hidden="false" customHeight="true" outlineLevel="0" collapsed="false">
      <c r="A38" s="45" t="s">
        <v>66</v>
      </c>
      <c r="B38" s="46" t="b">
        <f aca="false">FALSE()</f>
        <v>0</v>
      </c>
      <c r="C38" s="47" t="n">
        <v>46493</v>
      </c>
      <c r="D38" s="48" t="n">
        <f aca="false">C38-C37</f>
        <v>31</v>
      </c>
      <c r="E38" s="49" t="n">
        <v>19</v>
      </c>
      <c r="F38" s="50" t="n">
        <f aca="false">IF(U37&gt;0, U37, 0)</f>
        <v>79651.4237213716</v>
      </c>
      <c r="G38" s="50" t="n">
        <f aca="false">IF(AND(V37&lt;&gt;"", V37&lt;$F$7), V37, G37)</f>
        <v>840.1</v>
      </c>
      <c r="H38" s="50" t="n">
        <f aca="false">IF(F38&gt;$F$7, ($G$2*($F$12/12)), 0)</f>
        <v>43.03125</v>
      </c>
      <c r="I38" s="50" t="n">
        <v>0</v>
      </c>
      <c r="J38" s="51" t="n">
        <f aca="false">IF(G38 = 0, 0, (H38+I38)/G38)</f>
        <v>0.0512215807641947</v>
      </c>
      <c r="K38" s="52" t="n">
        <f aca="false">G38</f>
        <v>840.1</v>
      </c>
      <c r="L38" s="50" t="n">
        <v>0</v>
      </c>
      <c r="M38" s="50" t="n">
        <f aca="false">IF(F38&gt;K38,K38-G38-N38+L38,0)</f>
        <v>0</v>
      </c>
      <c r="N38" s="50" t="n">
        <v>0</v>
      </c>
      <c r="O38" s="50" t="n">
        <f aca="false">(G38-R38-I38-H38)</f>
        <v>268.089097180553</v>
      </c>
      <c r="P38" s="51" t="n">
        <f aca="false">IF(G38 = 0, 0 , (O38/G38))</f>
        <v>0.319115697155759</v>
      </c>
      <c r="Q38" s="50" t="n">
        <f aca="false">SUM(L38:O38)</f>
        <v>268.089097180553</v>
      </c>
      <c r="R38" s="50" t="n">
        <f aca="false">F38*((1+$F$4)^(D38/360)-1)</f>
        <v>528.979652819447</v>
      </c>
      <c r="S38" s="51" t="n">
        <f aca="false">R38/G38</f>
        <v>0.629662722080047</v>
      </c>
      <c r="T38" s="50" t="n">
        <f aca="false">L38+M38+O38+R38+H38+I38</f>
        <v>840.1</v>
      </c>
      <c r="U38" s="50" t="n">
        <f aca="false">F38-O38-M38-L38</f>
        <v>79383.3346241911</v>
      </c>
      <c r="V38" s="2" t="str">
        <f aca="false">IF(M38&gt;0, ROUND(PMT($F$9,$F$10-E38-2,-U38)+$G$2*$F$12/12, 2), "")</f>
        <v/>
      </c>
      <c r="W38" s="2"/>
      <c r="X38" s="2" t="e">
        <f aca="false">IF(V38 &gt; 0, (G38-V38), 0)</f>
        <v>#VALUE!</v>
      </c>
      <c r="Y38" s="2" t="e">
        <f aca="false">X38*(180-E38)-M38</f>
        <v>#VALUE!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customFormat="false" ht="15.75" hidden="false" customHeight="true" outlineLevel="0" collapsed="false">
      <c r="A39" s="45" t="s">
        <v>66</v>
      </c>
      <c r="B39" s="46" t="b">
        <f aca="false">FALSE()</f>
        <v>0</v>
      </c>
      <c r="C39" s="47" t="n">
        <v>46523</v>
      </c>
      <c r="D39" s="48" t="n">
        <f aca="false">C39-C38</f>
        <v>30</v>
      </c>
      <c r="E39" s="49" t="n">
        <v>20</v>
      </c>
      <c r="F39" s="50" t="n">
        <f aca="false">IF(U38&gt;0, U38, 0)</f>
        <v>79383.3346241911</v>
      </c>
      <c r="G39" s="50" t="n">
        <f aca="false">IF(AND(V38&lt;&gt;"", V38&lt;$F$7), V38, G38)</f>
        <v>840.1</v>
      </c>
      <c r="H39" s="50" t="n">
        <f aca="false">IF(F39&gt;$F$7, ($G$2*($F$12/12)), 0)</f>
        <v>43.03125</v>
      </c>
      <c r="I39" s="50" t="n">
        <v>0</v>
      </c>
      <c r="J39" s="51" t="n">
        <f aca="false">IF(G39 = 0, 0, (H39+I39)/G39)</f>
        <v>0.0512215807641947</v>
      </c>
      <c r="K39" s="52" t="n">
        <f aca="false">G39</f>
        <v>840.1</v>
      </c>
      <c r="L39" s="50" t="n">
        <v>0</v>
      </c>
      <c r="M39" s="50" t="n">
        <f aca="false">IF(F39&gt;K39,K39-G39-N39+L39,0)</f>
        <v>0</v>
      </c>
      <c r="N39" s="50" t="n">
        <v>0</v>
      </c>
      <c r="O39" s="50" t="n">
        <f aca="false">(G39-R39-I39-H39)</f>
        <v>286.930477697929</v>
      </c>
      <c r="P39" s="51" t="n">
        <f aca="false">IF(G39 = 0, 0 , (O39/G39))</f>
        <v>0.341543242111569</v>
      </c>
      <c r="Q39" s="50" t="n">
        <f aca="false">SUM(L39:O39)</f>
        <v>286.930477697929</v>
      </c>
      <c r="R39" s="50" t="n">
        <f aca="false">F39*((1+$F$4)^(D39/360)-1)</f>
        <v>510.138272302071</v>
      </c>
      <c r="S39" s="51" t="n">
        <f aca="false">R39/G39</f>
        <v>0.607235177124237</v>
      </c>
      <c r="T39" s="50" t="n">
        <f aca="false">L39+M39+O39+R39+H39+I39</f>
        <v>840.1</v>
      </c>
      <c r="U39" s="50" t="n">
        <f aca="false">F39-O39-M39-L39</f>
        <v>79096.4041464931</v>
      </c>
      <c r="V39" s="2" t="str">
        <f aca="false">IF(M39&gt;0, ROUND(PMT($F$9,$F$10-E39-2,-U39)+$G$2*$F$12/12, 2), "")</f>
        <v/>
      </c>
      <c r="W39" s="2"/>
      <c r="X39" s="2" t="e">
        <f aca="false">IF(V39 &gt; 0, (G39-V39), 0)</f>
        <v>#VALUE!</v>
      </c>
      <c r="Y39" s="2" t="e">
        <f aca="false">X39*(180-E39)-M39</f>
        <v>#VALUE!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customFormat="false" ht="15.75" hidden="false" customHeight="true" outlineLevel="0" collapsed="false">
      <c r="A40" s="45" t="s">
        <v>66</v>
      </c>
      <c r="B40" s="46" t="b">
        <f aca="false">FALSE()</f>
        <v>0</v>
      </c>
      <c r="C40" s="47" t="n">
        <v>46554</v>
      </c>
      <c r="D40" s="48" t="n">
        <f aca="false">C40-C39</f>
        <v>31</v>
      </c>
      <c r="E40" s="49" t="n">
        <v>21</v>
      </c>
      <c r="F40" s="50" t="n">
        <f aca="false">IF(U39&gt;0, U39, 0)</f>
        <v>79096.4041464931</v>
      </c>
      <c r="G40" s="50" t="n">
        <f aca="false">IF(AND(V39&lt;&gt;"", V39&lt;$F$7), V39, G39)</f>
        <v>840.1</v>
      </c>
      <c r="H40" s="50" t="n">
        <f aca="false">IF(F40&gt;$F$7, ($G$2*($F$12/12)), 0)</f>
        <v>43.03125</v>
      </c>
      <c r="I40" s="50" t="n">
        <v>0</v>
      </c>
      <c r="J40" s="51" t="n">
        <f aca="false">IF(G40 = 0, 0, (H40+I40)/G40)</f>
        <v>0.0512215807641947</v>
      </c>
      <c r="K40" s="52" t="n">
        <f aca="false">G40</f>
        <v>840.1</v>
      </c>
      <c r="L40" s="50" t="n">
        <v>0</v>
      </c>
      <c r="M40" s="50" t="n">
        <f aca="false">IF(F40&gt;K40,K40-G40-N40+L40,0)</f>
        <v>0</v>
      </c>
      <c r="N40" s="50" t="n">
        <v>0</v>
      </c>
      <c r="O40" s="50" t="n">
        <f aca="false">(G40-R40-I40-H40)</f>
        <v>271.775083548533</v>
      </c>
      <c r="P40" s="51" t="n">
        <f aca="false">IF(G40 = 0, 0 , (O40/G40))</f>
        <v>0.323503253837083</v>
      </c>
      <c r="Q40" s="50" t="n">
        <f aca="false">SUM(L40:O40)</f>
        <v>271.775083548533</v>
      </c>
      <c r="R40" s="50" t="n">
        <f aca="false">F40*((1+$F$4)^(D40/360)-1)</f>
        <v>525.293666451467</v>
      </c>
      <c r="S40" s="51" t="n">
        <f aca="false">R40/G40</f>
        <v>0.625275165398722</v>
      </c>
      <c r="T40" s="50" t="n">
        <f aca="false">L40+M40+O40+R40+H40+I40</f>
        <v>840.1</v>
      </c>
      <c r="U40" s="50" t="n">
        <f aca="false">F40-O40-M40-L40</f>
        <v>78824.6290629446</v>
      </c>
      <c r="V40" s="2" t="str">
        <f aca="false">IF(M40&gt;0, ROUND(PMT($F$9,$F$10-E40-2,-U40)+$G$2*$F$12/12, 2), "")</f>
        <v/>
      </c>
      <c r="W40" s="2"/>
      <c r="X40" s="2" t="e">
        <f aca="false">IF(V40 &gt; 0, (G40-V40), 0)</f>
        <v>#VALUE!</v>
      </c>
      <c r="Y40" s="2" t="e">
        <f aca="false">X40*(180-E40)-M40</f>
        <v>#VALUE!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customFormat="false" ht="15.75" hidden="false" customHeight="true" outlineLevel="0" collapsed="false">
      <c r="A41" s="45" t="s">
        <v>66</v>
      </c>
      <c r="B41" s="46" t="b">
        <f aca="false">FALSE()</f>
        <v>0</v>
      </c>
      <c r="C41" s="47" t="n">
        <v>46584</v>
      </c>
      <c r="D41" s="48" t="n">
        <f aca="false">C41-C40</f>
        <v>30</v>
      </c>
      <c r="E41" s="49" t="n">
        <v>22</v>
      </c>
      <c r="F41" s="50" t="n">
        <f aca="false">IF(U40&gt;0, U40, 0)</f>
        <v>78824.6290629446</v>
      </c>
      <c r="G41" s="50" t="n">
        <f aca="false">IF(AND(V40&lt;&gt;"", V40&lt;$F$7), V40, G40)</f>
        <v>840.1</v>
      </c>
      <c r="H41" s="50" t="n">
        <f aca="false">IF(F41&gt;$F$7, ($G$2*($F$12/12)), 0)</f>
        <v>43.03125</v>
      </c>
      <c r="I41" s="50" t="n">
        <v>0</v>
      </c>
      <c r="J41" s="51" t="n">
        <f aca="false">IF(G41 = 0, 0, (H41+I41)/G41)</f>
        <v>0.0512215807641947</v>
      </c>
      <c r="K41" s="52" t="n">
        <f aca="false">G41</f>
        <v>840.1</v>
      </c>
      <c r="L41" s="50" t="n">
        <v>0</v>
      </c>
      <c r="M41" s="50" t="n">
        <f aca="false">IF(F41&gt;K41,K41-G41-N41+L41,0)</f>
        <v>0</v>
      </c>
      <c r="N41" s="50" t="n">
        <v>0</v>
      </c>
      <c r="O41" s="50" t="n">
        <f aca="false">(G41-R41-I41-H41)</f>
        <v>290.520867180673</v>
      </c>
      <c r="P41" s="51" t="n">
        <f aca="false">IF(G41 = 0, 0 , (O41/G41))</f>
        <v>0.345817006523834</v>
      </c>
      <c r="Q41" s="50" t="n">
        <f aca="false">SUM(L41:O41)</f>
        <v>290.520867180673</v>
      </c>
      <c r="R41" s="50" t="n">
        <f aca="false">F41*((1+$F$4)^(D41/360)-1)</f>
        <v>506.547882819327</v>
      </c>
      <c r="S41" s="51" t="n">
        <f aca="false">R41/G41</f>
        <v>0.602961412711972</v>
      </c>
      <c r="T41" s="50" t="n">
        <f aca="false">L41+M41+O41+R41+H41+I41</f>
        <v>840.1</v>
      </c>
      <c r="U41" s="50" t="n">
        <f aca="false">F41-O41-M41-L41</f>
        <v>78534.1081957639</v>
      </c>
      <c r="V41" s="2" t="str">
        <f aca="false">IF(M41&gt;0, ROUND(PMT($F$9,$F$10-E41-2,-U41)+$G$2*$F$12/12, 2), "")</f>
        <v/>
      </c>
      <c r="W41" s="2"/>
      <c r="X41" s="2" t="e">
        <f aca="false">IF(V41 &gt; 0, (G41-V41), 0)</f>
        <v>#VALUE!</v>
      </c>
      <c r="Y41" s="2" t="e">
        <f aca="false">X41*(180-E41)-M41</f>
        <v>#VALUE!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customFormat="false" ht="15.75" hidden="false" customHeight="true" outlineLevel="0" collapsed="false">
      <c r="A42" s="45" t="s">
        <v>66</v>
      </c>
      <c r="B42" s="46" t="b">
        <f aca="false">FALSE()</f>
        <v>0</v>
      </c>
      <c r="C42" s="47" t="n">
        <v>46615</v>
      </c>
      <c r="D42" s="48" t="n">
        <f aca="false">C42-C41</f>
        <v>31</v>
      </c>
      <c r="E42" s="49" t="n">
        <v>23</v>
      </c>
      <c r="F42" s="50" t="n">
        <f aca="false">IF(U41&gt;0, U41, 0)</f>
        <v>78534.1081957639</v>
      </c>
      <c r="G42" s="50" t="n">
        <f aca="false">IF(AND(V41&lt;&gt;"", V41&lt;$F$7), V41, G41)</f>
        <v>840.1</v>
      </c>
      <c r="H42" s="50" t="n">
        <f aca="false">IF(F42&gt;$F$7, ($G$2*($F$12/12)), 0)</f>
        <v>43.03125</v>
      </c>
      <c r="I42" s="50" t="n">
        <v>0</v>
      </c>
      <c r="J42" s="51" t="n">
        <f aca="false">IF(G42 = 0, 0, (H42+I42)/G42)</f>
        <v>0.0512215807641947</v>
      </c>
      <c r="K42" s="52" t="n">
        <f aca="false">G42</f>
        <v>840.1</v>
      </c>
      <c r="L42" s="50" t="n">
        <v>0</v>
      </c>
      <c r="M42" s="50" t="n">
        <f aca="false">IF(F42&gt;K42,K42-G42-N42+L42,0)</f>
        <v>0</v>
      </c>
      <c r="N42" s="50" t="n">
        <v>0</v>
      </c>
      <c r="O42" s="50" t="n">
        <f aca="false">(G42-R42-I42-H42)</f>
        <v>275.509393657528</v>
      </c>
      <c r="P42" s="51" t="n">
        <f aca="false">IF(G42 = 0, 0 , (O42/G42))</f>
        <v>0.327948331933731</v>
      </c>
      <c r="Q42" s="50" t="n">
        <f aca="false">SUM(L42:O42)</f>
        <v>275.509393657528</v>
      </c>
      <c r="R42" s="50" t="n">
        <f aca="false">F42*((1+$F$4)^(D42/360)-1)</f>
        <v>521.559356342472</v>
      </c>
      <c r="S42" s="51" t="n">
        <f aca="false">R42/G42</f>
        <v>0.620830087302074</v>
      </c>
      <c r="T42" s="50" t="n">
        <f aca="false">L42+M42+O42+R42+H42+I42</f>
        <v>840.1</v>
      </c>
      <c r="U42" s="50" t="n">
        <f aca="false">F42-O42-M42-L42</f>
        <v>78258.5988021064</v>
      </c>
      <c r="V42" s="2" t="str">
        <f aca="false">IF(M42&gt;0, ROUND(PMT($F$9,$F$10-E42-2,-U42)+$G$2*$F$12/12, 2), "")</f>
        <v/>
      </c>
      <c r="W42" s="2"/>
      <c r="X42" s="2" t="e">
        <f aca="false">IF(V42 &gt; 0, (G42-V42), 0)</f>
        <v>#VALUE!</v>
      </c>
      <c r="Y42" s="2" t="e">
        <f aca="false">X42*(180-E42)-M42</f>
        <v>#VALUE!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customFormat="false" ht="15.75" hidden="false" customHeight="true" outlineLevel="0" collapsed="false">
      <c r="A43" s="55" t="s">
        <v>66</v>
      </c>
      <c r="B43" s="56" t="b">
        <f aca="false">FALSE()</f>
        <v>0</v>
      </c>
      <c r="C43" s="57" t="n">
        <v>46646</v>
      </c>
      <c r="D43" s="58" t="n">
        <f aca="false">C43-C42</f>
        <v>31</v>
      </c>
      <c r="E43" s="59" t="n">
        <v>24</v>
      </c>
      <c r="F43" s="60" t="n">
        <f aca="false">IF(U42&gt;0, U42, 0)</f>
        <v>78258.5988021064</v>
      </c>
      <c r="G43" s="60" t="n">
        <f aca="false">IF(AND(V42&lt;&gt;"", V42&lt;$F$7), V42, G42)</f>
        <v>840.1</v>
      </c>
      <c r="H43" s="60" t="n">
        <f aca="false">IF(F43&gt;$F$7, ($G$2*($F$12/12)), 0)</f>
        <v>43.03125</v>
      </c>
      <c r="I43" s="60" t="n">
        <v>0</v>
      </c>
      <c r="J43" s="60" t="n">
        <f aca="false">IF(G43 = 0, 0, (H43+I43)/G43)</f>
        <v>0.0512215807641947</v>
      </c>
      <c r="K43" s="60" t="n">
        <f aca="false">G43</f>
        <v>840.1</v>
      </c>
      <c r="L43" s="60" t="n">
        <v>0</v>
      </c>
      <c r="M43" s="60" t="n">
        <f aca="false">IF(F43&gt;K43,K43-G43-N43+L43,0)</f>
        <v>0</v>
      </c>
      <c r="N43" s="60" t="n">
        <v>0</v>
      </c>
      <c r="O43" s="60" t="n">
        <f aca="false">(G43-R43-I43-H43)</f>
        <v>277.339101861053</v>
      </c>
      <c r="P43" s="60" t="n">
        <f aca="false">IF(G43 = 0, 0 , (O43/G43))</f>
        <v>0.330126296704027</v>
      </c>
      <c r="Q43" s="60" t="n">
        <f aca="false">SUM(L43:O43)</f>
        <v>277.339101861053</v>
      </c>
      <c r="R43" s="60" t="n">
        <f aca="false">F43*((1+$F$4)^(D43/360)-1)</f>
        <v>519.729648138947</v>
      </c>
      <c r="S43" s="51" t="n">
        <f aca="false">R43/G43</f>
        <v>0.618652122531778</v>
      </c>
      <c r="T43" s="60" t="n">
        <f aca="false">L43+M43+O43+R43+H43+I43</f>
        <v>840.1</v>
      </c>
      <c r="U43" s="60" t="n">
        <f aca="false">F43-O43-M43-L43</f>
        <v>77981.2597002453</v>
      </c>
      <c r="V43" s="61" t="str">
        <f aca="false">IF(M43&gt;0, ROUND(PMT($F$9,$F$10-E43-2,-U43)+$G$2*$F$12/12, 2), "")</f>
        <v/>
      </c>
      <c r="W43" s="61" t="s">
        <v>70</v>
      </c>
      <c r="X43" s="2" t="e">
        <f aca="false">IF(V43 &gt; 0, (G43-V43), 0)</f>
        <v>#VALUE!</v>
      </c>
      <c r="Y43" s="2" t="e">
        <f aca="false">X43*(180-E43)-M43</f>
        <v>#VALUE!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customFormat="false" ht="15.75" hidden="false" customHeight="true" outlineLevel="0" collapsed="false">
      <c r="A44" s="45" t="s">
        <v>66</v>
      </c>
      <c r="B44" s="46" t="b">
        <f aca="false">FALSE()</f>
        <v>0</v>
      </c>
      <c r="C44" s="47" t="n">
        <v>46676</v>
      </c>
      <c r="D44" s="48" t="n">
        <f aca="false">C44-C43</f>
        <v>30</v>
      </c>
      <c r="E44" s="49" t="n">
        <v>25</v>
      </c>
      <c r="F44" s="50" t="n">
        <f aca="false">IF(U43&gt;0, U43, 0)</f>
        <v>77981.2597002453</v>
      </c>
      <c r="G44" s="50" t="n">
        <f aca="false">IF(AND(V43&lt;&gt;"", V43&lt;$F$7), V43, G43)</f>
        <v>840.1</v>
      </c>
      <c r="H44" s="50" t="n">
        <f aca="false">IF(F44&gt;$F$7, ($G$2*($F$12/12)), 0)</f>
        <v>43.03125</v>
      </c>
      <c r="I44" s="50" t="n">
        <v>0</v>
      </c>
      <c r="J44" s="51" t="n">
        <f aca="false">IF(G44 = 0, 0, (H44+I44)/G44)</f>
        <v>0.0512215807641947</v>
      </c>
      <c r="K44" s="52" t="n">
        <f aca="false">G44</f>
        <v>840.1</v>
      </c>
      <c r="L44" s="50" t="n">
        <v>0</v>
      </c>
      <c r="M44" s="50" t="n">
        <f aca="false">IF(F44&gt;K44,K44-G44-N44+L44,0)</f>
        <v>0</v>
      </c>
      <c r="N44" s="50" t="n">
        <v>0</v>
      </c>
      <c r="O44" s="50" t="n">
        <f aca="false">(G44-R44-I44-H44)</f>
        <v>295.940581427204</v>
      </c>
      <c r="P44" s="51" t="n">
        <f aca="false">IF(G44 = 0, 0 , (O44/G44))</f>
        <v>0.352268279284852</v>
      </c>
      <c r="Q44" s="50" t="n">
        <f aca="false">SUM(L44:O44)</f>
        <v>295.940581427204</v>
      </c>
      <c r="R44" s="50" t="n">
        <f aca="false">F44*((1+$F$4)^(D44/360)-1)</f>
        <v>501.128168572796</v>
      </c>
      <c r="S44" s="51" t="n">
        <f aca="false">R44/G44</f>
        <v>0.596510139950953</v>
      </c>
      <c r="T44" s="50" t="n">
        <f aca="false">L44+M44+O44+R44+H44+I44</f>
        <v>840.1</v>
      </c>
      <c r="U44" s="50" t="n">
        <f aca="false">F44-O44-M44-L44</f>
        <v>77685.3191188181</v>
      </c>
      <c r="V44" s="2" t="str">
        <f aca="false">IF(M44&gt;0, ROUND(PMT($F$9,$F$10-E44-2,-U44)+$G$2*$F$12/12, 2), "")</f>
        <v/>
      </c>
      <c r="W44" s="2"/>
      <c r="X44" s="2" t="e">
        <f aca="false">IF(V44 &gt; 0, (G44-V44), 0)</f>
        <v>#VALUE!</v>
      </c>
      <c r="Y44" s="2" t="e">
        <f aca="false">X44*(180-E44)-M44</f>
        <v>#VALUE!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customFormat="false" ht="15.75" hidden="false" customHeight="true" outlineLevel="0" collapsed="false">
      <c r="A45" s="45" t="s">
        <v>66</v>
      </c>
      <c r="B45" s="46" t="b">
        <f aca="false">FALSE()</f>
        <v>0</v>
      </c>
      <c r="C45" s="47" t="n">
        <v>46707</v>
      </c>
      <c r="D45" s="48" t="n">
        <f aca="false">C45-C44</f>
        <v>31</v>
      </c>
      <c r="E45" s="49" t="n">
        <v>26</v>
      </c>
      <c r="F45" s="50" t="n">
        <f aca="false">IF(U44&gt;0, U44, 0)</f>
        <v>77685.3191188181</v>
      </c>
      <c r="G45" s="50" t="n">
        <f aca="false">IF(AND(V44&lt;&gt;"", V44&lt;$F$7), V44, G44)</f>
        <v>840.1</v>
      </c>
      <c r="H45" s="50" t="n">
        <f aca="false">IF(F45&gt;$F$7, ($G$2*($F$12/12)), 0)</f>
        <v>43.03125</v>
      </c>
      <c r="I45" s="50" t="n">
        <v>0</v>
      </c>
      <c r="J45" s="51" t="n">
        <f aca="false">IF(G45 = 0, 0, (H45+I45)/G45)</f>
        <v>0.0512215807641947</v>
      </c>
      <c r="K45" s="52" t="n">
        <f aca="false">G45</f>
        <v>840.1</v>
      </c>
      <c r="L45" s="50" t="n">
        <v>0</v>
      </c>
      <c r="M45" s="50" t="n">
        <f aca="false">IF(F45&gt;K45,K45-G45-N45+L45,0)</f>
        <v>0</v>
      </c>
      <c r="N45" s="50" t="n">
        <v>0</v>
      </c>
      <c r="O45" s="50" t="n">
        <f aca="false">(G45-R45-I45-H45)</f>
        <v>281.146356944089</v>
      </c>
      <c r="P45" s="51" t="n">
        <f aca="false">IF(G45 = 0, 0 , (O45/G45))</f>
        <v>0.334658203718711</v>
      </c>
      <c r="Q45" s="50" t="n">
        <f aca="false">SUM(L45:O45)</f>
        <v>281.146356944089</v>
      </c>
      <c r="R45" s="50" t="n">
        <f aca="false">F45*((1+$F$4)^(D45/360)-1)</f>
        <v>515.922393055911</v>
      </c>
      <c r="S45" s="51" t="n">
        <f aca="false">R45/G45</f>
        <v>0.614120215517094</v>
      </c>
      <c r="T45" s="50" t="n">
        <f aca="false">L45+M45+O45+R45+H45+I45</f>
        <v>840.1</v>
      </c>
      <c r="U45" s="50" t="n">
        <f aca="false">F45-O45-M45-L45</f>
        <v>77404.1727618741</v>
      </c>
      <c r="V45" s="2" t="str">
        <f aca="false">IF(M45&gt;0, ROUND(PMT($F$9,$F$10-E45-2,-U45)+$G$2*$F$12/12, 2), "")</f>
        <v/>
      </c>
      <c r="W45" s="2"/>
      <c r="X45" s="2" t="e">
        <f aca="false">IF(V45 &gt; 0, (G45-V45), 0)</f>
        <v>#VALUE!</v>
      </c>
      <c r="Y45" s="2" t="e">
        <f aca="false">X45*(180-E45)-M45</f>
        <v>#VALUE!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customFormat="false" ht="15.75" hidden="false" customHeight="true" outlineLevel="0" collapsed="false">
      <c r="A46" s="45" t="s">
        <v>66</v>
      </c>
      <c r="B46" s="46" t="b">
        <f aca="false">FALSE()</f>
        <v>0</v>
      </c>
      <c r="C46" s="47" t="n">
        <v>46737</v>
      </c>
      <c r="D46" s="48" t="n">
        <f aca="false">C46-C45</f>
        <v>30</v>
      </c>
      <c r="E46" s="49" t="n">
        <v>27</v>
      </c>
      <c r="F46" s="50" t="n">
        <f aca="false">IF(U45&gt;0, U45, 0)</f>
        <v>77404.1727618741</v>
      </c>
      <c r="G46" s="50" t="n">
        <f aca="false">IF(AND(V45&lt;&gt;"", V45&lt;$F$7), V45, G45)</f>
        <v>840.1</v>
      </c>
      <c r="H46" s="50" t="n">
        <f aca="false">IF(F46&gt;$F$7, ($G$2*($F$12/12)), 0)</f>
        <v>43.03125</v>
      </c>
      <c r="I46" s="50" t="n">
        <v>0</v>
      </c>
      <c r="J46" s="51" t="n">
        <f aca="false">IF(G46 = 0, 0, (H46+I46)/G46)</f>
        <v>0.0512215807641947</v>
      </c>
      <c r="K46" s="52" t="n">
        <f aca="false">G46</f>
        <v>840.1</v>
      </c>
      <c r="L46" s="50" t="n">
        <v>0</v>
      </c>
      <c r="M46" s="50" t="n">
        <f aca="false">IF(F46&gt;K46,K46-G46-N46+L46,0)</f>
        <v>0</v>
      </c>
      <c r="N46" s="50" t="n">
        <v>0</v>
      </c>
      <c r="O46" s="50" t="n">
        <f aca="false">(G46-R46-I46-H46)</f>
        <v>299.649094493612</v>
      </c>
      <c r="P46" s="51" t="n">
        <f aca="false">IF(G46 = 0, 0 , (O46/G46))</f>
        <v>0.356682650272125</v>
      </c>
      <c r="Q46" s="50" t="n">
        <f aca="false">SUM(L46:O46)</f>
        <v>299.649094493612</v>
      </c>
      <c r="R46" s="50" t="n">
        <f aca="false">F46*((1+$F$4)^(D46/360)-1)</f>
        <v>497.419655506388</v>
      </c>
      <c r="S46" s="51" t="n">
        <f aca="false">R46/G46</f>
        <v>0.592095768963681</v>
      </c>
      <c r="T46" s="50" t="n">
        <f aca="false">L46+M46+O46+R46+H46+I46</f>
        <v>840.1</v>
      </c>
      <c r="U46" s="50" t="n">
        <f aca="false">F46-O46-M46-L46</f>
        <v>77104.5236673805</v>
      </c>
      <c r="V46" s="2" t="str">
        <f aca="false">IF(M46&gt;0, ROUND(PMT($F$9,$F$10-E46-2,-U46)+$G$2*$F$12/12, 2), "")</f>
        <v/>
      </c>
      <c r="W46" s="2"/>
      <c r="X46" s="2" t="e">
        <f aca="false">IF(V46 &gt; 0, (G46-V46), 0)</f>
        <v>#VALUE!</v>
      </c>
      <c r="Y46" s="2" t="e">
        <f aca="false">X46*(180-E46)-M46</f>
        <v>#VALUE!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customFormat="false" ht="15.75" hidden="false" customHeight="true" outlineLevel="0" collapsed="false">
      <c r="A47" s="45" t="s">
        <v>66</v>
      </c>
      <c r="B47" s="46" t="b">
        <f aca="false">FALSE()</f>
        <v>0</v>
      </c>
      <c r="C47" s="47" t="n">
        <v>46768</v>
      </c>
      <c r="D47" s="48" t="n">
        <f aca="false">C47-C46</f>
        <v>31</v>
      </c>
      <c r="E47" s="49" t="n">
        <v>28</v>
      </c>
      <c r="F47" s="50" t="n">
        <f aca="false">IF(U46&gt;0, U46, 0)</f>
        <v>77104.5236673805</v>
      </c>
      <c r="G47" s="50" t="n">
        <f aca="false">IF(AND(V46&lt;&gt;"", V46&lt;$F$7), V46, G46)</f>
        <v>840.1</v>
      </c>
      <c r="H47" s="50" t="n">
        <f aca="false">IF(F47&gt;$F$7, ($G$2*($F$12/12)), 0)</f>
        <v>43.03125</v>
      </c>
      <c r="I47" s="50" t="n">
        <v>0</v>
      </c>
      <c r="J47" s="51" t="n">
        <f aca="false">IF(G47 = 0, 0, (H47+I47)/G47)</f>
        <v>0.0512215807641947</v>
      </c>
      <c r="K47" s="52" t="n">
        <f aca="false">G47</f>
        <v>840.1</v>
      </c>
      <c r="L47" s="50" t="n">
        <v>0</v>
      </c>
      <c r="M47" s="50" t="n">
        <f aca="false">IF(F47&gt;K47,K47-G47-N47+L47,0)</f>
        <v>0</v>
      </c>
      <c r="N47" s="50" t="n">
        <v>0</v>
      </c>
      <c r="O47" s="50" t="n">
        <f aca="false">(G47-R47-I47-H47)</f>
        <v>285.003525616119</v>
      </c>
      <c r="P47" s="51" t="n">
        <f aca="false">IF(G47 = 0, 0 , (O47/G47))</f>
        <v>0.339249524599594</v>
      </c>
      <c r="Q47" s="50" t="n">
        <f aca="false">SUM(L47:O47)</f>
        <v>285.003525616119</v>
      </c>
      <c r="R47" s="50" t="n">
        <f aca="false">F47*((1+$F$4)^(D47/360)-1)</f>
        <v>512.065224383881</v>
      </c>
      <c r="S47" s="51" t="n">
        <f aca="false">R47/G47</f>
        <v>0.609528894636212</v>
      </c>
      <c r="T47" s="50" t="n">
        <f aca="false">L47+M47+O47+R47+H47+I47</f>
        <v>840.1</v>
      </c>
      <c r="U47" s="50" t="n">
        <f aca="false">F47-O47-M47-L47</f>
        <v>76819.5201417643</v>
      </c>
      <c r="V47" s="2" t="str">
        <f aca="false">IF(M47&gt;0, ROUND(PMT($F$9,$F$10-E47-2,-U47)+$G$2*$F$12/12, 2), "")</f>
        <v/>
      </c>
      <c r="W47" s="2"/>
      <c r="X47" s="2" t="e">
        <f aca="false">IF(V47 &gt; 0, (G47-V47), 0)</f>
        <v>#VALUE!</v>
      </c>
      <c r="Y47" s="2" t="e">
        <f aca="false">X47*(180-E47)-M47</f>
        <v>#VALUE!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customFormat="false" ht="15.75" hidden="false" customHeight="true" outlineLevel="0" collapsed="false">
      <c r="A48" s="45" t="s">
        <v>66</v>
      </c>
      <c r="B48" s="46" t="b">
        <f aca="false">FALSE()</f>
        <v>0</v>
      </c>
      <c r="C48" s="47" t="n">
        <v>46799</v>
      </c>
      <c r="D48" s="48" t="n">
        <f aca="false">C48-C47</f>
        <v>31</v>
      </c>
      <c r="E48" s="49" t="n">
        <v>29</v>
      </c>
      <c r="F48" s="50" t="n">
        <f aca="false">IF(U47&gt;0, U47, 0)</f>
        <v>76819.5201417643</v>
      </c>
      <c r="G48" s="50" t="n">
        <f aca="false">IF(AND(V47&lt;&gt;"", V47&lt;$F$7), V47, G47)</f>
        <v>840.1</v>
      </c>
      <c r="H48" s="50" t="n">
        <f aca="false">IF(F48&gt;$F$7, ($G$2*($F$12/12)), 0)</f>
        <v>43.03125</v>
      </c>
      <c r="I48" s="50" t="n">
        <v>0</v>
      </c>
      <c r="J48" s="51" t="n">
        <f aca="false">IF(G48 = 0, 0, (H48+I48)/G48)</f>
        <v>0.0512215807641947</v>
      </c>
      <c r="K48" s="52" t="n">
        <f aca="false">G48</f>
        <v>840.1</v>
      </c>
      <c r="L48" s="50" t="n">
        <v>0</v>
      </c>
      <c r="M48" s="50" t="n">
        <f aca="false">IF(F48&gt;K48,K48-G48-N48+L48,0)</f>
        <v>0</v>
      </c>
      <c r="N48" s="50" t="n">
        <v>0</v>
      </c>
      <c r="O48" s="50" t="n">
        <f aca="false">(G48-R48-I48-H48)</f>
        <v>286.896286084031</v>
      </c>
      <c r="P48" s="51" t="n">
        <f aca="false">IF(G48 = 0, 0 , (O48/G48))</f>
        <v>0.341502542654483</v>
      </c>
      <c r="Q48" s="50" t="n">
        <f aca="false">SUM(L48:O48)</f>
        <v>286.896286084031</v>
      </c>
      <c r="R48" s="50" t="n">
        <f aca="false">F48*((1+$F$4)^(D48/360)-1)</f>
        <v>510.172463915969</v>
      </c>
      <c r="S48" s="51" t="n">
        <f aca="false">R48/G48</f>
        <v>0.607275876581323</v>
      </c>
      <c r="T48" s="50" t="n">
        <f aca="false">L48+M48+O48+R48+H48+I48</f>
        <v>840.1</v>
      </c>
      <c r="U48" s="50" t="n">
        <f aca="false">F48-O48-M48-L48</f>
        <v>76532.6238556803</v>
      </c>
      <c r="V48" s="2" t="str">
        <f aca="false">IF(M48&gt;0, ROUND(PMT($F$9,$F$10-E48-2,-U48)+$G$2*$F$12/12, 2), "")</f>
        <v/>
      </c>
      <c r="W48" s="2"/>
      <c r="X48" s="2" t="e">
        <f aca="false">IF(V48 &gt; 0, (G48-V48), 0)</f>
        <v>#VALUE!</v>
      </c>
      <c r="Y48" s="2" t="e">
        <f aca="false">X48*(180-E48)-M48</f>
        <v>#VALUE!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customFormat="false" ht="15.75" hidden="false" customHeight="true" outlineLevel="0" collapsed="false">
      <c r="A49" s="45" t="s">
        <v>66</v>
      </c>
      <c r="B49" s="46" t="b">
        <f aca="false">FALSE()</f>
        <v>0</v>
      </c>
      <c r="C49" s="47" t="n">
        <v>46828</v>
      </c>
      <c r="D49" s="48" t="n">
        <f aca="false">C49-C48</f>
        <v>29</v>
      </c>
      <c r="E49" s="49" t="n">
        <v>30</v>
      </c>
      <c r="F49" s="50" t="n">
        <f aca="false">IF(U48&gt;0, U48, 0)</f>
        <v>76532.6238556803</v>
      </c>
      <c r="G49" s="50" t="n">
        <f aca="false">IF(AND(V48&lt;&gt;"", V48&lt;$F$7), V48, G48)</f>
        <v>840.1</v>
      </c>
      <c r="H49" s="50" t="n">
        <f aca="false">IF(F49&gt;$F$7, ($G$2*($F$12/12)), 0)</f>
        <v>43.03125</v>
      </c>
      <c r="I49" s="50" t="n">
        <v>0</v>
      </c>
      <c r="J49" s="51" t="n">
        <f aca="false">IF(G49 = 0, 0, (H49+I49)/G49)</f>
        <v>0.0512215807641947</v>
      </c>
      <c r="K49" s="52" t="n">
        <f aca="false">G49</f>
        <v>840.1</v>
      </c>
      <c r="L49" s="50" t="n">
        <v>0</v>
      </c>
      <c r="M49" s="50" t="n">
        <f aca="false">IF(F49&gt;K49,K49-G49-N49+L49,0)</f>
        <v>0</v>
      </c>
      <c r="N49" s="50" t="n">
        <v>0</v>
      </c>
      <c r="O49" s="50" t="n">
        <f aca="false">(G49-R49-I49-H49)</f>
        <v>321.694667418058</v>
      </c>
      <c r="P49" s="51" t="n">
        <f aca="false">IF(G49 = 0, 0 , (O49/G49))</f>
        <v>0.382924255943409</v>
      </c>
      <c r="Q49" s="50" t="n">
        <f aca="false">SUM(L49:O49)</f>
        <v>321.694667418058</v>
      </c>
      <c r="R49" s="50" t="n">
        <f aca="false">F49*((1+$F$4)^(D49/360)-1)</f>
        <v>475.374082581942</v>
      </c>
      <c r="S49" s="51" t="n">
        <f aca="false">R49/G49</f>
        <v>0.565854163292397</v>
      </c>
      <c r="T49" s="50" t="n">
        <f aca="false">L49+M49+O49+R49+H49+I49</f>
        <v>840.1</v>
      </c>
      <c r="U49" s="50" t="n">
        <f aca="false">F49-O49-M49-L49</f>
        <v>76210.9291882623</v>
      </c>
      <c r="V49" s="2" t="str">
        <f aca="false">IF(M49&gt;0, ROUND(PMT($F$9,$F$10-E49-2,-U49)+$G$2*$F$12/12, 2), "")</f>
        <v/>
      </c>
      <c r="W49" s="2"/>
      <c r="X49" s="2" t="e">
        <f aca="false">IF(V49 &gt; 0, (G49-V49), 0)</f>
        <v>#VALUE!</v>
      </c>
      <c r="Y49" s="2" t="e">
        <f aca="false">X49*(180-E49)-M49</f>
        <v>#VALUE!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customFormat="false" ht="15.75" hidden="false" customHeight="true" outlineLevel="0" collapsed="false">
      <c r="A50" s="45" t="s">
        <v>66</v>
      </c>
      <c r="B50" s="46" t="b">
        <f aca="false">FALSE()</f>
        <v>0</v>
      </c>
      <c r="C50" s="47" t="n">
        <v>46859</v>
      </c>
      <c r="D50" s="48" t="n">
        <f aca="false">C50-C49</f>
        <v>31</v>
      </c>
      <c r="E50" s="49" t="n">
        <v>31</v>
      </c>
      <c r="F50" s="50" t="n">
        <f aca="false">IF(U49&gt;0, U49, 0)</f>
        <v>76210.9291882623</v>
      </c>
      <c r="G50" s="50" t="n">
        <f aca="false">IF(AND(V49&lt;&gt;"", V49&lt;$F$7), V49, G49)</f>
        <v>840.1</v>
      </c>
      <c r="H50" s="50" t="n">
        <f aca="false">IF(F50&gt;$F$7, ($G$2*($F$12/12)), 0)</f>
        <v>43.03125</v>
      </c>
      <c r="I50" s="50" t="n">
        <v>0</v>
      </c>
      <c r="J50" s="51" t="n">
        <f aca="false">IF(G50 = 0, 0, (H50+I50)/G50)</f>
        <v>0.0512215807641947</v>
      </c>
      <c r="K50" s="52" t="n">
        <f aca="false">G50</f>
        <v>840.1</v>
      </c>
      <c r="L50" s="50" t="n">
        <v>0</v>
      </c>
      <c r="M50" s="50" t="n">
        <f aca="false">IF(F50&gt;K50,K50-G50-N50+L50,0)</f>
        <v>0</v>
      </c>
      <c r="N50" s="50" t="n">
        <v>0</v>
      </c>
      <c r="O50" s="50" t="n">
        <f aca="false">(G50-R50-I50-H50)</f>
        <v>290.938049761963</v>
      </c>
      <c r="P50" s="51" t="n">
        <f aca="false">IF(G50 = 0, 0 , (O50/G50))</f>
        <v>0.346313593336463</v>
      </c>
      <c r="Q50" s="50" t="n">
        <f aca="false">SUM(L50:O50)</f>
        <v>290.938049761963</v>
      </c>
      <c r="R50" s="50" t="n">
        <f aca="false">F50*((1+$F$4)^(D50/360)-1)</f>
        <v>506.130700238037</v>
      </c>
      <c r="S50" s="51" t="n">
        <f aca="false">R50/G50</f>
        <v>0.602464825899342</v>
      </c>
      <c r="T50" s="50" t="n">
        <f aca="false">L50+M50+O50+R50+H50+I50</f>
        <v>840.1</v>
      </c>
      <c r="U50" s="50" t="n">
        <f aca="false">F50-O50-M50-L50</f>
        <v>75919.9911385003</v>
      </c>
      <c r="V50" s="2" t="str">
        <f aca="false">IF(M50&gt;0, ROUND(PMT($F$9,$F$10-E50-2,-U50)+$G$2*$F$12/12, 2), "")</f>
        <v/>
      </c>
      <c r="W50" s="2"/>
      <c r="X50" s="2" t="e">
        <f aca="false">IF(V50 &gt; 0, (G50-V50), 0)</f>
        <v>#VALUE!</v>
      </c>
      <c r="Y50" s="2" t="e">
        <f aca="false">X50*(180-E50)-M50</f>
        <v>#VALUE!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customFormat="false" ht="15.75" hidden="false" customHeight="true" outlineLevel="0" collapsed="false">
      <c r="A51" s="45" t="s">
        <v>66</v>
      </c>
      <c r="B51" s="46" t="b">
        <f aca="false">FALSE()</f>
        <v>0</v>
      </c>
      <c r="C51" s="47" t="n">
        <v>46889</v>
      </c>
      <c r="D51" s="48" t="n">
        <f aca="false">C51-C50</f>
        <v>30</v>
      </c>
      <c r="E51" s="49" t="n">
        <v>32</v>
      </c>
      <c r="F51" s="50" t="n">
        <f aca="false">IF(U50&gt;0, U50, 0)</f>
        <v>75919.9911385003</v>
      </c>
      <c r="G51" s="50" t="n">
        <f aca="false">IF(AND(V50&lt;&gt;"", V50&lt;$F$7), V50, G50)</f>
        <v>840.1</v>
      </c>
      <c r="H51" s="50" t="n">
        <f aca="false">IF(F51&gt;$F$7, ($G$2*($F$12/12)), 0)</f>
        <v>43.03125</v>
      </c>
      <c r="I51" s="50" t="n">
        <v>0</v>
      </c>
      <c r="J51" s="51" t="n">
        <f aca="false">IF(G51 = 0, 0, (H51+I51)/G51)</f>
        <v>0.0512215807641947</v>
      </c>
      <c r="K51" s="52" t="n">
        <f aca="false">G51</f>
        <v>840.1</v>
      </c>
      <c r="L51" s="50" t="n">
        <v>0</v>
      </c>
      <c r="M51" s="50" t="n">
        <f aca="false">IF(F51&gt;K51,K51-G51-N51+L51,0)</f>
        <v>0</v>
      </c>
      <c r="N51" s="50" t="n">
        <v>0</v>
      </c>
      <c r="O51" s="50" t="n">
        <f aca="false">(G51-R51-I51-H51)</f>
        <v>309.186837556621</v>
      </c>
      <c r="P51" s="51" t="n">
        <f aca="false">IF(G51 = 0, 0 , (O51/G51))</f>
        <v>0.36803575473946</v>
      </c>
      <c r="Q51" s="50" t="n">
        <f aca="false">SUM(L51:O51)</f>
        <v>309.186837556621</v>
      </c>
      <c r="R51" s="50" t="n">
        <f aca="false">F51*((1+$F$4)^(D51/360)-1)</f>
        <v>487.88191244338</v>
      </c>
      <c r="S51" s="51" t="n">
        <f aca="false">R51/G51</f>
        <v>0.580742664496345</v>
      </c>
      <c r="T51" s="50" t="n">
        <f aca="false">L51+M51+O51+R51+H51+I51</f>
        <v>840.1</v>
      </c>
      <c r="U51" s="50" t="n">
        <f aca="false">F51-O51-M51-L51</f>
        <v>75610.8043009437</v>
      </c>
      <c r="V51" s="2" t="str">
        <f aca="false">IF(M51&gt;0, ROUND(PMT($F$9,$F$10-E51-2,-U51)+$G$2*$F$12/12, 2), "")</f>
        <v/>
      </c>
      <c r="W51" s="2"/>
      <c r="X51" s="2" t="e">
        <f aca="false">IF(V51 &gt; 0, (G51-V51), 0)</f>
        <v>#VALUE!</v>
      </c>
      <c r="Y51" s="2" t="e">
        <f aca="false">X51*(180-E51)-M51</f>
        <v>#VALUE!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customFormat="false" ht="15.75" hidden="false" customHeight="true" outlineLevel="0" collapsed="false">
      <c r="A52" s="45" t="s">
        <v>66</v>
      </c>
      <c r="B52" s="46" t="b">
        <f aca="false">FALSE()</f>
        <v>0</v>
      </c>
      <c r="C52" s="47" t="n">
        <v>46920</v>
      </c>
      <c r="D52" s="48" t="n">
        <f aca="false">C52-C51</f>
        <v>31</v>
      </c>
      <c r="E52" s="49" t="n">
        <v>33</v>
      </c>
      <c r="F52" s="50" t="n">
        <f aca="false">IF(U51&gt;0, U51, 0)</f>
        <v>75610.8043009437</v>
      </c>
      <c r="G52" s="50" t="n">
        <f aca="false">IF(AND(V51&lt;&gt;"", V51&lt;$F$7), V51, G51)</f>
        <v>840.1</v>
      </c>
      <c r="H52" s="50" t="n">
        <f aca="false">IF(F52&gt;$F$7, ($G$2*($F$12/12)), 0)</f>
        <v>43.03125</v>
      </c>
      <c r="I52" s="50" t="n">
        <v>0</v>
      </c>
      <c r="J52" s="51" t="n">
        <f aca="false">IF(G52 = 0, 0, (H52+I52)/G52)</f>
        <v>0.0512215807641947</v>
      </c>
      <c r="K52" s="52" t="n">
        <f aca="false">G52</f>
        <v>840.1</v>
      </c>
      <c r="L52" s="50" t="n">
        <v>0</v>
      </c>
      <c r="M52" s="50" t="n">
        <f aca="false">IF(F52&gt;K52,K52-G52-N52+L52,0)</f>
        <v>0</v>
      </c>
      <c r="N52" s="50" t="n">
        <v>0</v>
      </c>
      <c r="O52" s="50" t="n">
        <f aca="false">(G52-R52-I52-H52)</f>
        <v>294.92358874809</v>
      </c>
      <c r="P52" s="51" t="n">
        <f aca="false">IF(G52 = 0, 0 , (O52/G52))</f>
        <v>0.351057717828937</v>
      </c>
      <c r="Q52" s="50" t="n">
        <f aca="false">SUM(L52:O52)</f>
        <v>294.92358874809</v>
      </c>
      <c r="R52" s="50" t="n">
        <f aca="false">F52*((1+$F$4)^(D52/360)-1)</f>
        <v>502.14516125191</v>
      </c>
      <c r="S52" s="51" t="n">
        <f aca="false">R52/G52</f>
        <v>0.597720701406868</v>
      </c>
      <c r="T52" s="50" t="n">
        <f aca="false">L52+M52+O52+R52+H52+I52</f>
        <v>840.1</v>
      </c>
      <c r="U52" s="50" t="n">
        <f aca="false">F52-O52-M52-L52</f>
        <v>75315.8807121956</v>
      </c>
      <c r="V52" s="2" t="str">
        <f aca="false">IF(M52&gt;0, ROUND(PMT($F$9,$F$10-E52-2,-U52)+$G$2*$F$12/12, 2), "")</f>
        <v/>
      </c>
      <c r="W52" s="2"/>
      <c r="X52" s="2" t="e">
        <f aca="false">IF(V52 &gt; 0, (G52-V52), 0)</f>
        <v>#VALUE!</v>
      </c>
      <c r="Y52" s="2" t="e">
        <f aca="false">X52*(180-E52)-M52</f>
        <v>#VALUE!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customFormat="false" ht="15.75" hidden="false" customHeight="true" outlineLevel="0" collapsed="false">
      <c r="A53" s="45" t="s">
        <v>66</v>
      </c>
      <c r="B53" s="46" t="b">
        <f aca="false">FALSE()</f>
        <v>0</v>
      </c>
      <c r="C53" s="47" t="n">
        <v>46950</v>
      </c>
      <c r="D53" s="48" t="n">
        <f aca="false">C53-C52</f>
        <v>30</v>
      </c>
      <c r="E53" s="49" t="n">
        <v>34</v>
      </c>
      <c r="F53" s="50" t="n">
        <f aca="false">IF(U52&gt;0, U52, 0)</f>
        <v>75315.8807121956</v>
      </c>
      <c r="G53" s="50" t="n">
        <f aca="false">IF(AND(V52&lt;&gt;"", V52&lt;$F$7), V52, G52)</f>
        <v>840.1</v>
      </c>
      <c r="H53" s="50" t="n">
        <f aca="false">IF(F53&gt;$F$7, ($G$2*($F$12/12)), 0)</f>
        <v>43.03125</v>
      </c>
      <c r="I53" s="50" t="n">
        <v>0</v>
      </c>
      <c r="J53" s="51" t="n">
        <f aca="false">IF(G53 = 0, 0, (H53+I53)/G53)</f>
        <v>0.0512215807641947</v>
      </c>
      <c r="K53" s="52" t="n">
        <f aca="false">G53</f>
        <v>840.1</v>
      </c>
      <c r="L53" s="50" t="n">
        <v>0</v>
      </c>
      <c r="M53" s="50" t="n">
        <f aca="false">IF(F53&gt;K53,K53-G53-N53+L53,0)</f>
        <v>0</v>
      </c>
      <c r="N53" s="50" t="n">
        <v>0</v>
      </c>
      <c r="O53" s="50" t="n">
        <f aca="false">(G53-R53-I53-H53)</f>
        <v>313.069010693006</v>
      </c>
      <c r="P53" s="51" t="n">
        <f aca="false">IF(G53 = 0, 0 , (O53/G53))</f>
        <v>0.37265683929652</v>
      </c>
      <c r="Q53" s="50" t="n">
        <f aca="false">SUM(L53:O53)</f>
        <v>313.069010693006</v>
      </c>
      <c r="R53" s="50" t="n">
        <f aca="false">F53*((1+$F$4)^(D53/360)-1)</f>
        <v>483.999739306994</v>
      </c>
      <c r="S53" s="51" t="n">
        <f aca="false">R53/G53</f>
        <v>0.576121579939286</v>
      </c>
      <c r="T53" s="50" t="n">
        <f aca="false">L53+M53+O53+R53+H53+I53</f>
        <v>840.1</v>
      </c>
      <c r="U53" s="50" t="n">
        <f aca="false">F53-O53-M53-L53</f>
        <v>75002.8117015026</v>
      </c>
      <c r="V53" s="2" t="str">
        <f aca="false">IF(M53&gt;0, ROUND(PMT($F$9,$F$10-E53-2,-U53)+$G$2*$F$12/12, 2), "")</f>
        <v/>
      </c>
      <c r="W53" s="2"/>
      <c r="X53" s="2" t="e">
        <f aca="false">IF(V53 &gt; 0, (G53-V53), 0)</f>
        <v>#VALUE!</v>
      </c>
      <c r="Y53" s="2" t="e">
        <f aca="false">X53*(180-E53)-M53</f>
        <v>#VALUE!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customFormat="false" ht="15.75" hidden="false" customHeight="true" outlineLevel="0" collapsed="false">
      <c r="A54" s="45" t="s">
        <v>66</v>
      </c>
      <c r="B54" s="46" t="b">
        <f aca="false">FALSE()</f>
        <v>0</v>
      </c>
      <c r="C54" s="47" t="n">
        <v>46981</v>
      </c>
      <c r="D54" s="48" t="n">
        <f aca="false">C54-C53</f>
        <v>31</v>
      </c>
      <c r="E54" s="49" t="n">
        <v>35</v>
      </c>
      <c r="F54" s="50" t="n">
        <f aca="false">IF(U53&gt;0, U53, 0)</f>
        <v>75002.8117015026</v>
      </c>
      <c r="G54" s="50" t="n">
        <f aca="false">IF(AND(V53&lt;&gt;"", V53&lt;$F$7), V53, G53)</f>
        <v>840.1</v>
      </c>
      <c r="H54" s="50" t="n">
        <f aca="false">IF(F54&gt;$F$7, ($G$2*($F$12/12)), 0)</f>
        <v>43.03125</v>
      </c>
      <c r="I54" s="50" t="n">
        <v>0</v>
      </c>
      <c r="J54" s="51" t="n">
        <f aca="false">IF(G54 = 0, 0, (H54+I54)/G54)</f>
        <v>0.0512215807641947</v>
      </c>
      <c r="K54" s="52" t="n">
        <f aca="false">G54</f>
        <v>840.1</v>
      </c>
      <c r="L54" s="50" t="n">
        <v>0</v>
      </c>
      <c r="M54" s="50" t="n">
        <f aca="false">IF(F54&gt;K54,K54-G54-N54+L54,0)</f>
        <v>0</v>
      </c>
      <c r="N54" s="50" t="n">
        <v>0</v>
      </c>
      <c r="O54" s="50" t="n">
        <f aca="false">(G54-R54-I54-H54)</f>
        <v>298.961378647417</v>
      </c>
      <c r="P54" s="51" t="n">
        <f aca="false">IF(G54 = 0, 0 , (O54/G54))</f>
        <v>0.355864038385212</v>
      </c>
      <c r="Q54" s="50" t="n">
        <f aca="false">SUM(L54:O54)</f>
        <v>298.961378647417</v>
      </c>
      <c r="R54" s="50" t="n">
        <f aca="false">F54*((1+$F$4)^(D54/360)-1)</f>
        <v>498.107371352583</v>
      </c>
      <c r="S54" s="51" t="n">
        <f aca="false">R54/G54</f>
        <v>0.592914380850593</v>
      </c>
      <c r="T54" s="50" t="n">
        <f aca="false">L54+M54+O54+R54+H54+I54</f>
        <v>840.1</v>
      </c>
      <c r="U54" s="50" t="n">
        <f aca="false">F54-O54-M54-L54</f>
        <v>74703.8503228551</v>
      </c>
      <c r="V54" s="2" t="str">
        <f aca="false">IF(M54&gt;0, ROUND(PMT($F$9,$F$10-E54-2,-U54)+$G$2*$F$12/12, 2), "")</f>
        <v/>
      </c>
      <c r="W54" s="2"/>
      <c r="X54" s="2" t="e">
        <f aca="false">IF(V54 &gt; 0, (G54-V54), 0)</f>
        <v>#VALUE!</v>
      </c>
      <c r="Y54" s="2" t="e">
        <f aca="false">X54*(180-E54)-M54</f>
        <v>#VALUE!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customFormat="false" ht="15.75" hidden="false" customHeight="true" outlineLevel="0" collapsed="false">
      <c r="A55" s="55" t="s">
        <v>66</v>
      </c>
      <c r="B55" s="56" t="b">
        <f aca="false">FALSE()</f>
        <v>0</v>
      </c>
      <c r="C55" s="57" t="n">
        <v>47012</v>
      </c>
      <c r="D55" s="58" t="n">
        <f aca="false">C55-C54</f>
        <v>31</v>
      </c>
      <c r="E55" s="59" t="n">
        <v>36</v>
      </c>
      <c r="F55" s="60" t="n">
        <f aca="false">IF(U54&gt;0, U54, 0)</f>
        <v>74703.8503228551</v>
      </c>
      <c r="G55" s="60" t="n">
        <f aca="false">IF(AND(V54&lt;&gt;"", V54&lt;$F$7), V54, G54)</f>
        <v>840.1</v>
      </c>
      <c r="H55" s="60" t="n">
        <f aca="false">IF(F55&gt;$F$7, ($G$2*($F$12/12)), 0)</f>
        <v>43.03125</v>
      </c>
      <c r="I55" s="60" t="n">
        <v>0</v>
      </c>
      <c r="J55" s="60" t="n">
        <f aca="false">IF(G55 = 0, 0, (H55+I55)/G55)</f>
        <v>0.0512215807641947</v>
      </c>
      <c r="K55" s="60" t="n">
        <f aca="false">G55</f>
        <v>840.1</v>
      </c>
      <c r="L55" s="60" t="n">
        <v>0</v>
      </c>
      <c r="M55" s="60" t="n">
        <f aca="false">IF(F55&gt;K55,K55-G55-N55+L55,0)</f>
        <v>0</v>
      </c>
      <c r="N55" s="60" t="n">
        <v>0</v>
      </c>
      <c r="O55" s="60" t="n">
        <f aca="false">(G55-R55-I55-H55)</f>
        <v>300.946835766634</v>
      </c>
      <c r="P55" s="60" t="n">
        <f aca="false">IF(G55 = 0, 0 , (O55/G55))</f>
        <v>0.358227396460699</v>
      </c>
      <c r="Q55" s="60" t="n">
        <f aca="false">SUM(L55:O55)</f>
        <v>300.946835766634</v>
      </c>
      <c r="R55" s="60" t="n">
        <f aca="false">F55*((1+$F$4)^(D55/360)-1)</f>
        <v>496.121914233367</v>
      </c>
      <c r="S55" s="51" t="n">
        <f aca="false">R55/G55</f>
        <v>0.590551022775106</v>
      </c>
      <c r="T55" s="60" t="n">
        <f aca="false">L55+M55+O55+R55+H55+I55</f>
        <v>840.1</v>
      </c>
      <c r="U55" s="60" t="n">
        <f aca="false">F55-O55-M55-L55</f>
        <v>74402.9034870885</v>
      </c>
      <c r="V55" s="61" t="str">
        <f aca="false">IF(M55&gt;0, ROUND(PMT($F$9,$F$10-E55-2,-U55)+$G$2*$F$12/12, 2), "")</f>
        <v/>
      </c>
      <c r="W55" s="61" t="s">
        <v>71</v>
      </c>
      <c r="X55" s="2" t="e">
        <f aca="false">IF(V55 &gt; 0, (G55-V55), 0)</f>
        <v>#VALUE!</v>
      </c>
      <c r="Y55" s="2" t="e">
        <f aca="false">X55*(180-E55)-M55</f>
        <v>#VALUE!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5.75" hidden="false" customHeight="true" outlineLevel="0" collapsed="false">
      <c r="A56" s="45" t="s">
        <v>66</v>
      </c>
      <c r="B56" s="46" t="b">
        <f aca="false">FALSE()</f>
        <v>0</v>
      </c>
      <c r="C56" s="47" t="n">
        <v>47042</v>
      </c>
      <c r="D56" s="48" t="n">
        <f aca="false">C56-C55</f>
        <v>30</v>
      </c>
      <c r="E56" s="49" t="n">
        <v>37</v>
      </c>
      <c r="F56" s="50" t="n">
        <f aca="false">IF(U55&gt;0, U55, 0)</f>
        <v>74402.9034870885</v>
      </c>
      <c r="G56" s="50" t="n">
        <f aca="false">IF(AND(V55&lt;&gt;"", V55&lt;$F$7), V55, G55)</f>
        <v>840.1</v>
      </c>
      <c r="H56" s="50" t="n">
        <f aca="false">IF(F56&gt;$F$7, ($G$2*($F$12/12)), 0)</f>
        <v>43.03125</v>
      </c>
      <c r="I56" s="50" t="n">
        <v>0</v>
      </c>
      <c r="J56" s="51" t="n">
        <f aca="false">IF(G56 = 0, 0, (H56+I56)/G56)</f>
        <v>0.0512215807641947</v>
      </c>
      <c r="K56" s="52" t="n">
        <f aca="false">G56</f>
        <v>840.1</v>
      </c>
      <c r="L56" s="50" t="n">
        <v>0</v>
      </c>
      <c r="M56" s="50" t="n">
        <f aca="false">IF(F56&gt;K56,K56-G56-N56+L56,0)</f>
        <v>0</v>
      </c>
      <c r="N56" s="50" t="n">
        <v>0</v>
      </c>
      <c r="O56" s="50" t="n">
        <f aca="false">(G56-R56-I56-H56)</f>
        <v>318.936043445814</v>
      </c>
      <c r="P56" s="51" t="n">
        <f aca="false">IF(G56 = 0, 0 , (O56/G56))</f>
        <v>0.379640570700886</v>
      </c>
      <c r="Q56" s="50" t="n">
        <f aca="false">SUM(L56:O56)</f>
        <v>318.936043445814</v>
      </c>
      <c r="R56" s="50" t="n">
        <f aca="false">F56*((1+$F$4)^(D56/360)-1)</f>
        <v>478.132706554186</v>
      </c>
      <c r="S56" s="51" t="n">
        <f aca="false">R56/G56</f>
        <v>0.569137848534919</v>
      </c>
      <c r="T56" s="50" t="n">
        <f aca="false">L56+M56+O56+R56+H56+I56</f>
        <v>840.1</v>
      </c>
      <c r="U56" s="50" t="n">
        <f aca="false">F56-O56-M56-L56</f>
        <v>74083.9674436427</v>
      </c>
      <c r="V56" s="2" t="str">
        <f aca="false">IF(M56&gt;0, ROUND(PMT($F$9,$F$10-E56-2,-U56)+$G$2*$F$12/12, 2), "")</f>
        <v/>
      </c>
      <c r="W56" s="2"/>
      <c r="X56" s="2" t="e">
        <f aca="false">IF(V56 &gt; 0, (G56-V56), 0)</f>
        <v>#VALUE!</v>
      </c>
      <c r="Y56" s="2" t="e">
        <f aca="false">X56*(180-E56)-M56</f>
        <v>#VALUE!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5.75" hidden="false" customHeight="true" outlineLevel="0" collapsed="false">
      <c r="A57" s="45" t="s">
        <v>66</v>
      </c>
      <c r="B57" s="46" t="b">
        <f aca="false">FALSE()</f>
        <v>0</v>
      </c>
      <c r="C57" s="47" t="n">
        <v>47073</v>
      </c>
      <c r="D57" s="48" t="n">
        <f aca="false">C57-C56</f>
        <v>31</v>
      </c>
      <c r="E57" s="49" t="n">
        <v>38</v>
      </c>
      <c r="F57" s="50" t="n">
        <f aca="false">IF(U56&gt;0, U56, 0)</f>
        <v>74083.9674436427</v>
      </c>
      <c r="G57" s="50" t="n">
        <f aca="false">IF(AND(V56&lt;&gt;"", V56&lt;$F$7), V56, G56)</f>
        <v>840.1</v>
      </c>
      <c r="H57" s="50" t="n">
        <f aca="false">IF(F57&gt;$F$7, ($G$2*($F$12/12)), 0)</f>
        <v>43.03125</v>
      </c>
      <c r="I57" s="50" t="n">
        <v>0</v>
      </c>
      <c r="J57" s="51" t="n">
        <f aca="false">IF(G57 = 0, 0, (H57+I57)/G57)</f>
        <v>0.0512215807641947</v>
      </c>
      <c r="K57" s="52" t="n">
        <f aca="false">G57</f>
        <v>840.1</v>
      </c>
      <c r="L57" s="50" t="n">
        <v>0</v>
      </c>
      <c r="M57" s="50" t="n">
        <f aca="false">IF(F57&gt;K57,K57-G57-N57+L57,0)</f>
        <v>0</v>
      </c>
      <c r="N57" s="50" t="n">
        <v>0</v>
      </c>
      <c r="O57" s="50" t="n">
        <f aca="false">(G57-R57-I57-H57)</f>
        <v>305.063591185615</v>
      </c>
      <c r="P57" s="51" t="n">
        <f aca="false">IF(G57 = 0, 0 , (O57/G57))</f>
        <v>0.363127712398065</v>
      </c>
      <c r="Q57" s="50" t="n">
        <f aca="false">SUM(L57:O57)</f>
        <v>305.063591185615</v>
      </c>
      <c r="R57" s="50" t="n">
        <f aca="false">F57*((1+$F$4)^(D57/360)-1)</f>
        <v>492.005158814385</v>
      </c>
      <c r="S57" s="51" t="n">
        <f aca="false">R57/G57</f>
        <v>0.58565070683774</v>
      </c>
      <c r="T57" s="50" t="n">
        <f aca="false">L57+M57+O57+R57+H57+I57</f>
        <v>840.1</v>
      </c>
      <c r="U57" s="50" t="n">
        <f aca="false">F57-O57-M57-L57</f>
        <v>73778.9038524571</v>
      </c>
      <c r="V57" s="2" t="str">
        <f aca="false">IF(M57&gt;0, ROUND(PMT($F$9,$F$10-E57-2,-U57)+$G$2*$F$12/12, 2), "")</f>
        <v/>
      </c>
      <c r="W57" s="2"/>
      <c r="X57" s="2" t="e">
        <f aca="false">IF(V57 &gt; 0, (G57-V57), 0)</f>
        <v>#VALUE!</v>
      </c>
      <c r="Y57" s="2" t="e">
        <f aca="false">X57*(180-E57)-M57</f>
        <v>#VALUE!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5.75" hidden="false" customHeight="true" outlineLevel="0" collapsed="false">
      <c r="A58" s="45" t="s">
        <v>66</v>
      </c>
      <c r="B58" s="46" t="b">
        <f aca="false">FALSE()</f>
        <v>0</v>
      </c>
      <c r="C58" s="47" t="n">
        <v>47103</v>
      </c>
      <c r="D58" s="48" t="n">
        <f aca="false">C58-C57</f>
        <v>30</v>
      </c>
      <c r="E58" s="49" t="n">
        <v>39</v>
      </c>
      <c r="F58" s="50" t="n">
        <f aca="false">IF(U57&gt;0, U57, 0)</f>
        <v>73778.9038524571</v>
      </c>
      <c r="G58" s="50" t="n">
        <f aca="false">IF(AND(V57&lt;&gt;"", V57&lt;$F$7), V57, G57)</f>
        <v>840.1</v>
      </c>
      <c r="H58" s="50" t="n">
        <f aca="false">IF(F58&gt;$F$7, ($G$2*($F$12/12)), 0)</f>
        <v>43.03125</v>
      </c>
      <c r="I58" s="50" t="n">
        <v>0</v>
      </c>
      <c r="J58" s="51" t="n">
        <f aca="false">IF(G58 = 0, 0, (H58+I58)/G58)</f>
        <v>0.0512215807641947</v>
      </c>
      <c r="K58" s="52" t="n">
        <f aca="false">G58</f>
        <v>840.1</v>
      </c>
      <c r="L58" s="50" t="n">
        <v>0</v>
      </c>
      <c r="M58" s="50" t="n">
        <f aca="false">IF(F58&gt;K58,K58-G58-N58+L58,0)</f>
        <v>0</v>
      </c>
      <c r="N58" s="50" t="n">
        <v>0</v>
      </c>
      <c r="O58" s="50" t="n">
        <f aca="false">(G58-R58-I58-H58)</f>
        <v>322.946029887364</v>
      </c>
      <c r="P58" s="51" t="n">
        <f aca="false">IF(G58 = 0, 0 , (O58/G58))</f>
        <v>0.384413795842595</v>
      </c>
      <c r="Q58" s="50" t="n">
        <f aca="false">SUM(L58:O58)</f>
        <v>322.946029887364</v>
      </c>
      <c r="R58" s="50" t="n">
        <f aca="false">F58*((1+$F$4)^(D58/360)-1)</f>
        <v>474.122720112636</v>
      </c>
      <c r="S58" s="51" t="n">
        <f aca="false">R58/G58</f>
        <v>0.56436462339321</v>
      </c>
      <c r="T58" s="50" t="n">
        <f aca="false">L58+M58+O58+R58+H58+I58</f>
        <v>840.1</v>
      </c>
      <c r="U58" s="50" t="n">
        <f aca="false">F58-O58-M58-L58</f>
        <v>73455.9578225697</v>
      </c>
      <c r="V58" s="2" t="str">
        <f aca="false">IF(M58&gt;0, ROUND(PMT($F$9,$F$10-E58-2,-U58)+$G$2*$F$12/12, 2), "")</f>
        <v/>
      </c>
      <c r="W58" s="2"/>
      <c r="X58" s="2" t="e">
        <f aca="false">IF(V58 &gt; 0, (G58-V58), 0)</f>
        <v>#VALUE!</v>
      </c>
      <c r="Y58" s="2" t="e">
        <f aca="false">X58*(180-E58)-M58</f>
        <v>#VALUE!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5.75" hidden="false" customHeight="true" outlineLevel="0" collapsed="false">
      <c r="A59" s="45" t="s">
        <v>66</v>
      </c>
      <c r="B59" s="46" t="b">
        <f aca="false">FALSE()</f>
        <v>0</v>
      </c>
      <c r="C59" s="47" t="n">
        <v>47134</v>
      </c>
      <c r="D59" s="48" t="n">
        <f aca="false">C59-C58</f>
        <v>31</v>
      </c>
      <c r="E59" s="49" t="n">
        <v>40</v>
      </c>
      <c r="F59" s="50" t="n">
        <f aca="false">IF(U58&gt;0, U58, 0)</f>
        <v>73455.9578225697</v>
      </c>
      <c r="G59" s="50" t="n">
        <f aca="false">IF(AND(V58&lt;&gt;"", V58&lt;$F$7), V58, G58)</f>
        <v>840.1</v>
      </c>
      <c r="H59" s="50" t="n">
        <f aca="false">IF(F59&gt;$F$7, ($G$2*($F$12/12)), 0)</f>
        <v>43.03125</v>
      </c>
      <c r="I59" s="50" t="n">
        <v>0</v>
      </c>
      <c r="J59" s="51" t="n">
        <f aca="false">IF(G59 = 0, 0, (H59+I59)/G59)</f>
        <v>0.0512215807641947</v>
      </c>
      <c r="K59" s="52" t="n">
        <f aca="false">G59</f>
        <v>840.1</v>
      </c>
      <c r="L59" s="50" t="n">
        <v>0</v>
      </c>
      <c r="M59" s="50" t="n">
        <f aca="false">IF(F59&gt;K59,K59-G59-N59+L59,0)</f>
        <v>0</v>
      </c>
      <c r="N59" s="50" t="n">
        <v>0</v>
      </c>
      <c r="O59" s="50" t="n">
        <f aca="false">(G59-R59-I59-H59)</f>
        <v>309.234317781595</v>
      </c>
      <c r="P59" s="51" t="n">
        <f aca="false">IF(G59 = 0, 0 , (O59/G59))</f>
        <v>0.368092272088555</v>
      </c>
      <c r="Q59" s="50" t="n">
        <f aca="false">SUM(L59:O59)</f>
        <v>309.234317781595</v>
      </c>
      <c r="R59" s="50" t="n">
        <f aca="false">F59*((1+$F$4)^(D59/360)-1)</f>
        <v>487.834432218405</v>
      </c>
      <c r="S59" s="51" t="n">
        <f aca="false">R59/G59</f>
        <v>0.58068614714725</v>
      </c>
      <c r="T59" s="50" t="n">
        <f aca="false">L59+M59+O59+R59+H59+I59</f>
        <v>840.1</v>
      </c>
      <c r="U59" s="50" t="n">
        <f aca="false">F59-O59-M59-L59</f>
        <v>73146.7235047881</v>
      </c>
      <c r="V59" s="2" t="str">
        <f aca="false">IF(M59&gt;0, ROUND(PMT($F$9,$F$10-E59-2,-U59)+$G$2*$F$12/12, 2), "")</f>
        <v/>
      </c>
      <c r="W59" s="2"/>
      <c r="X59" s="2" t="e">
        <f aca="false">IF(V59 &gt; 0, (G59-V59), 0)</f>
        <v>#VALUE!</v>
      </c>
      <c r="Y59" s="2" t="e">
        <f aca="false">X59*(180-E59)-M59</f>
        <v>#VALUE!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5.75" hidden="false" customHeight="true" outlineLevel="0" collapsed="false">
      <c r="A60" s="45" t="s">
        <v>66</v>
      </c>
      <c r="B60" s="46" t="b">
        <f aca="false">FALSE()</f>
        <v>0</v>
      </c>
      <c r="C60" s="47" t="n">
        <v>47165</v>
      </c>
      <c r="D60" s="48" t="n">
        <f aca="false">C60-C59</f>
        <v>31</v>
      </c>
      <c r="E60" s="49" t="n">
        <v>41</v>
      </c>
      <c r="F60" s="50" t="n">
        <f aca="false">IF(U59&gt;0, U59, 0)</f>
        <v>73146.7235047881</v>
      </c>
      <c r="G60" s="50" t="n">
        <f aca="false">IF(AND(V59&lt;&gt;"", V59&lt;$F$7), V59, G59)</f>
        <v>840.1</v>
      </c>
      <c r="H60" s="50" t="n">
        <f aca="false">IF(F60&gt;$F$7, ($G$2*($F$12/12)), 0)</f>
        <v>43.03125</v>
      </c>
      <c r="I60" s="50" t="n">
        <v>0</v>
      </c>
      <c r="J60" s="51" t="n">
        <f aca="false">IF(G60 = 0, 0, (H60+I60)/G60)</f>
        <v>0.0512215807641947</v>
      </c>
      <c r="K60" s="52" t="n">
        <f aca="false">G60</f>
        <v>840.1</v>
      </c>
      <c r="L60" s="50" t="n">
        <v>0</v>
      </c>
      <c r="M60" s="50" t="n">
        <f aca="false">IF(F60&gt;K60,K60-G60-N60+L60,0)</f>
        <v>0</v>
      </c>
      <c r="N60" s="50" t="n">
        <v>0</v>
      </c>
      <c r="O60" s="50" t="n">
        <f aca="false">(G60-R60-I60-H60)</f>
        <v>311.287999365897</v>
      </c>
      <c r="P60" s="51" t="n">
        <f aca="false">IF(G60 = 0, 0 , (O60/G60))</f>
        <v>0.370536840097485</v>
      </c>
      <c r="Q60" s="50" t="n">
        <f aca="false">SUM(L60:O60)</f>
        <v>311.287999365897</v>
      </c>
      <c r="R60" s="50" t="n">
        <f aca="false">F60*((1+$F$4)^(D60/360)-1)</f>
        <v>485.780750634103</v>
      </c>
      <c r="S60" s="51" t="n">
        <f aca="false">R60/G60</f>
        <v>0.578241579138321</v>
      </c>
      <c r="T60" s="50" t="n">
        <f aca="false">L60+M60+O60+R60+H60+I60</f>
        <v>840.1</v>
      </c>
      <c r="U60" s="50" t="n">
        <f aca="false">F60-O60-M60-L60</f>
        <v>72835.4355054222</v>
      </c>
      <c r="V60" s="2" t="str">
        <f aca="false">IF(M60&gt;0, ROUND(PMT($F$9,$F$10-E60-2,-U60)+$G$2*$F$12/12, 2), "")</f>
        <v/>
      </c>
      <c r="W60" s="2"/>
      <c r="X60" s="2" t="e">
        <f aca="false">IF(V60 &gt; 0, (G60-V60), 0)</f>
        <v>#VALUE!</v>
      </c>
      <c r="Y60" s="2" t="e">
        <f aca="false">X60*(180-E60)-M60</f>
        <v>#VALUE!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customFormat="false" ht="15.75" hidden="false" customHeight="true" outlineLevel="0" collapsed="false">
      <c r="A61" s="45" t="s">
        <v>66</v>
      </c>
      <c r="B61" s="46" t="b">
        <f aca="false">FALSE()</f>
        <v>0</v>
      </c>
      <c r="C61" s="47" t="n">
        <v>47193</v>
      </c>
      <c r="D61" s="48" t="n">
        <f aca="false">C61-C60</f>
        <v>28</v>
      </c>
      <c r="E61" s="49" t="n">
        <v>42</v>
      </c>
      <c r="F61" s="50" t="n">
        <f aca="false">IF(U60&gt;0, U60, 0)</f>
        <v>72835.4355054222</v>
      </c>
      <c r="G61" s="50" t="n">
        <f aca="false">IF(AND(V60&lt;&gt;"", V60&lt;$F$7), V60, G60)</f>
        <v>840.1</v>
      </c>
      <c r="H61" s="50" t="n">
        <f aca="false">IF(F61&gt;$F$7, ($G$2*($F$12/12)), 0)</f>
        <v>43.03125</v>
      </c>
      <c r="I61" s="50" t="n">
        <v>0</v>
      </c>
      <c r="J61" s="51" t="n">
        <f aca="false">IF(G61 = 0, 0, (H61+I61)/G61)</f>
        <v>0.0512215807641947</v>
      </c>
      <c r="K61" s="52" t="n">
        <f aca="false">G61</f>
        <v>840.1</v>
      </c>
      <c r="L61" s="50" t="n">
        <v>0</v>
      </c>
      <c r="M61" s="50" t="n">
        <f aca="false">IF(F61&gt;K61,K61-G61-N61+L61,0)</f>
        <v>0</v>
      </c>
      <c r="N61" s="50" t="n">
        <v>0</v>
      </c>
      <c r="O61" s="50" t="n">
        <f aca="false">(G61-R61-I61-H61)</f>
        <v>360.306354772493</v>
      </c>
      <c r="P61" s="51" t="n">
        <f aca="false">IF(G61 = 0, 0 , (O61/G61))</f>
        <v>0.428885078886434</v>
      </c>
      <c r="Q61" s="50" t="n">
        <f aca="false">SUM(L61:O61)</f>
        <v>360.306354772493</v>
      </c>
      <c r="R61" s="50" t="n">
        <f aca="false">F61*((1+$F$4)^(D61/360)-1)</f>
        <v>436.762395227507</v>
      </c>
      <c r="S61" s="51" t="n">
        <f aca="false">R61/G61</f>
        <v>0.519893340349371</v>
      </c>
      <c r="T61" s="50" t="n">
        <f aca="false">L61+M61+O61+R61+H61+I61</f>
        <v>840.1</v>
      </c>
      <c r="U61" s="50" t="n">
        <f aca="false">F61-O61-M61-L61</f>
        <v>72475.1291506497</v>
      </c>
      <c r="V61" s="2" t="str">
        <f aca="false">IF(M61&gt;0, ROUND(PMT($F$9,$F$10-E61-2,-U61)+$G$2*$F$12/12, 2), "")</f>
        <v/>
      </c>
      <c r="W61" s="2"/>
      <c r="X61" s="2" t="e">
        <f aca="false">IF(V61 &gt; 0, (G61-V61), 0)</f>
        <v>#VALUE!</v>
      </c>
      <c r="Y61" s="2" t="e">
        <f aca="false">X61*(180-E61)-M61</f>
        <v>#VALUE!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5.75" hidden="false" customHeight="true" outlineLevel="0" collapsed="false">
      <c r="A62" s="45" t="s">
        <v>66</v>
      </c>
      <c r="B62" s="46" t="b">
        <f aca="false">FALSE()</f>
        <v>0</v>
      </c>
      <c r="C62" s="47" t="n">
        <v>47224</v>
      </c>
      <c r="D62" s="48" t="n">
        <f aca="false">C62-C61</f>
        <v>31</v>
      </c>
      <c r="E62" s="49" t="n">
        <v>43</v>
      </c>
      <c r="F62" s="50" t="n">
        <f aca="false">IF(U61&gt;0, U61, 0)</f>
        <v>72475.1291506497</v>
      </c>
      <c r="G62" s="50" t="n">
        <f aca="false">IF(AND(V61&lt;&gt;"", V61&lt;$F$7), V61, G61)</f>
        <v>840.1</v>
      </c>
      <c r="H62" s="50" t="n">
        <f aca="false">IF(F62&gt;$F$7, ($G$2*($F$12/12)), 0)</f>
        <v>43.03125</v>
      </c>
      <c r="I62" s="50" t="n">
        <v>0</v>
      </c>
      <c r="J62" s="51" t="n">
        <f aca="false">IF(G62 = 0, 0, (H62+I62)/G62)</f>
        <v>0.0512215807641947</v>
      </c>
      <c r="K62" s="52" t="n">
        <f aca="false">G62</f>
        <v>840.1</v>
      </c>
      <c r="L62" s="50" t="n">
        <v>0</v>
      </c>
      <c r="M62" s="50" t="n">
        <f aca="false">IF(F62&gt;K62,K62-G62-N62+L62,0)</f>
        <v>0</v>
      </c>
      <c r="N62" s="50" t="n">
        <v>0</v>
      </c>
      <c r="O62" s="50" t="n">
        <f aca="false">(G62-R62-I62-H62)</f>
        <v>315.748180134672</v>
      </c>
      <c r="P62" s="51" t="n">
        <f aca="false">IF(G62 = 0, 0 , (O62/G62))</f>
        <v>0.375845947071387</v>
      </c>
      <c r="Q62" s="50" t="n">
        <f aca="false">SUM(L62:O62)</f>
        <v>315.748180134672</v>
      </c>
      <c r="R62" s="50" t="n">
        <f aca="false">F62*((1+$F$4)^(D62/360)-1)</f>
        <v>481.320569865328</v>
      </c>
      <c r="S62" s="51" t="n">
        <f aca="false">R62/G62</f>
        <v>0.572932472164419</v>
      </c>
      <c r="T62" s="50" t="n">
        <f aca="false">L62+M62+O62+R62+H62+I62</f>
        <v>840.1</v>
      </c>
      <c r="U62" s="50" t="n">
        <f aca="false">F62-O62-M62-L62</f>
        <v>72159.3809705151</v>
      </c>
      <c r="V62" s="2" t="str">
        <f aca="false">IF(M62&gt;0, ROUND(PMT($F$9,$F$10-E62-2,-U62)+$G$2*$F$12/12, 2), "")</f>
        <v/>
      </c>
      <c r="W62" s="2"/>
      <c r="X62" s="2" t="e">
        <f aca="false">IF(V62 &gt; 0, (G62-V62), 0)</f>
        <v>#VALUE!</v>
      </c>
      <c r="Y62" s="2" t="e">
        <f aca="false">X62*(180-E62)-M62</f>
        <v>#VALUE!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5.75" hidden="false" customHeight="true" outlineLevel="0" collapsed="false">
      <c r="A63" s="45" t="s">
        <v>66</v>
      </c>
      <c r="B63" s="46" t="b">
        <f aca="false">FALSE()</f>
        <v>0</v>
      </c>
      <c r="C63" s="47" t="n">
        <v>47254</v>
      </c>
      <c r="D63" s="48" t="n">
        <f aca="false">C63-C62</f>
        <v>30</v>
      </c>
      <c r="E63" s="49" t="n">
        <v>44</v>
      </c>
      <c r="F63" s="50" t="n">
        <f aca="false">IF(U62&gt;0, U62, 0)</f>
        <v>72159.3809705151</v>
      </c>
      <c r="G63" s="50" t="n">
        <f aca="false">IF(AND(V62&lt;&gt;"", V62&lt;$F$7), V62, G62)</f>
        <v>840.1</v>
      </c>
      <c r="H63" s="50" t="n">
        <f aca="false">IF(F63&gt;$F$7, ($G$2*($F$12/12)), 0)</f>
        <v>43.03125</v>
      </c>
      <c r="I63" s="50" t="n">
        <v>0</v>
      </c>
      <c r="J63" s="51" t="n">
        <f aca="false">IF(G63 = 0, 0, (H63+I63)/G63)</f>
        <v>0.0512215807641947</v>
      </c>
      <c r="K63" s="52" t="n">
        <f aca="false">G63</f>
        <v>840.1</v>
      </c>
      <c r="L63" s="50" t="n">
        <v>0</v>
      </c>
      <c r="M63" s="50" t="n">
        <f aca="false">IF(F63&gt;K63,K63-G63-N63+L63,0)</f>
        <v>0</v>
      </c>
      <c r="N63" s="50" t="n">
        <v>0</v>
      </c>
      <c r="O63" s="50" t="n">
        <f aca="false">(G63-R63-I63-H63)</f>
        <v>333.353511619629</v>
      </c>
      <c r="P63" s="51" t="n">
        <f aca="false">IF(G63 = 0, 0 , (O63/G63))</f>
        <v>0.396802180240006</v>
      </c>
      <c r="Q63" s="50" t="n">
        <f aca="false">SUM(L63:O63)</f>
        <v>333.353511619629</v>
      </c>
      <c r="R63" s="50" t="n">
        <f aca="false">F63*((1+$F$4)^(D63/360)-1)</f>
        <v>463.715238380371</v>
      </c>
      <c r="S63" s="51" t="n">
        <f aca="false">R63/G63</f>
        <v>0.551976238995799</v>
      </c>
      <c r="T63" s="50" t="n">
        <f aca="false">L63+M63+O63+R63+H63+I63</f>
        <v>840.1</v>
      </c>
      <c r="U63" s="50" t="n">
        <f aca="false">F63-O63-M63-L63</f>
        <v>71826.0274588954</v>
      </c>
      <c r="V63" s="2" t="str">
        <f aca="false">IF(M63&gt;0, ROUND(PMT($F$9,$F$10-E63-2,-U63)+$G$2*$F$12/12, 2), "")</f>
        <v/>
      </c>
      <c r="W63" s="2"/>
      <c r="X63" s="2" t="e">
        <f aca="false">IF(V63 &gt; 0, (G63-V63), 0)</f>
        <v>#VALUE!</v>
      </c>
      <c r="Y63" s="2" t="e">
        <f aca="false">X63*(180-E63)-M63</f>
        <v>#VALUE!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5.75" hidden="false" customHeight="true" outlineLevel="0" collapsed="false">
      <c r="A64" s="45" t="s">
        <v>66</v>
      </c>
      <c r="B64" s="46" t="b">
        <f aca="false">FALSE()</f>
        <v>0</v>
      </c>
      <c r="C64" s="47" t="n">
        <v>47285</v>
      </c>
      <c r="D64" s="48" t="n">
        <f aca="false">C64-C63</f>
        <v>31</v>
      </c>
      <c r="E64" s="49" t="n">
        <v>45</v>
      </c>
      <c r="F64" s="50" t="n">
        <f aca="false">IF(U63&gt;0, U63, 0)</f>
        <v>71826.0274588954</v>
      </c>
      <c r="G64" s="50" t="n">
        <f aca="false">IF(AND(V63&lt;&gt;"", V63&lt;$F$7), V63, G63)</f>
        <v>840.1</v>
      </c>
      <c r="H64" s="50" t="n">
        <f aca="false">IF(F64&gt;$F$7, ($G$2*($F$12/12)), 0)</f>
        <v>43.03125</v>
      </c>
      <c r="I64" s="50" t="n">
        <v>0</v>
      </c>
      <c r="J64" s="51" t="n">
        <f aca="false">IF(G64 = 0, 0, (H64+I64)/G64)</f>
        <v>0.0512215807641947</v>
      </c>
      <c r="K64" s="52" t="n">
        <f aca="false">G64</f>
        <v>840.1</v>
      </c>
      <c r="L64" s="50" t="n">
        <v>0</v>
      </c>
      <c r="M64" s="50" t="n">
        <f aca="false">IF(F64&gt;K64,K64-G64-N64+L64,0)</f>
        <v>0</v>
      </c>
      <c r="N64" s="50" t="n">
        <v>0</v>
      </c>
      <c r="O64" s="50" t="n">
        <f aca="false">(G64-R64-I64-H64)</f>
        <v>320.058983024396</v>
      </c>
      <c r="P64" s="51" t="n">
        <f aca="false">IF(G64 = 0, 0 , (O64/G64))</f>
        <v>0.380977244404709</v>
      </c>
      <c r="Q64" s="50" t="n">
        <f aca="false">SUM(L64:O64)</f>
        <v>320.058983024396</v>
      </c>
      <c r="R64" s="50" t="n">
        <f aca="false">F64*((1+$F$4)^(D64/360)-1)</f>
        <v>477.009766975604</v>
      </c>
      <c r="S64" s="51" t="n">
        <f aca="false">R64/G64</f>
        <v>0.567801174831097</v>
      </c>
      <c r="T64" s="50" t="n">
        <f aca="false">L64+M64+O64+R64+H64+I64</f>
        <v>840.1</v>
      </c>
      <c r="U64" s="50" t="n">
        <f aca="false">F64-O64-M64-L64</f>
        <v>71505.968475871</v>
      </c>
      <c r="V64" s="2" t="str">
        <f aca="false">IF(M64&gt;0, ROUND(PMT($F$9,$F$10-E64-2,-U64)+$G$2*$F$12/12, 2), "")</f>
        <v/>
      </c>
      <c r="W64" s="2"/>
      <c r="X64" s="2" t="e">
        <f aca="false">IF(V64 &gt; 0, (G64-V64), 0)</f>
        <v>#VALUE!</v>
      </c>
      <c r="Y64" s="2" t="e">
        <f aca="false">X64*(180-E64)-M64</f>
        <v>#VALUE!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5.75" hidden="false" customHeight="true" outlineLevel="0" collapsed="false">
      <c r="A65" s="45" t="s">
        <v>66</v>
      </c>
      <c r="B65" s="46" t="b">
        <f aca="false">FALSE()</f>
        <v>0</v>
      </c>
      <c r="C65" s="47" t="n">
        <v>47315</v>
      </c>
      <c r="D65" s="48" t="n">
        <f aca="false">C65-C64</f>
        <v>30</v>
      </c>
      <c r="E65" s="49" t="n">
        <v>46</v>
      </c>
      <c r="F65" s="50" t="n">
        <f aca="false">IF(U64&gt;0, U64, 0)</f>
        <v>71505.968475871</v>
      </c>
      <c r="G65" s="50" t="n">
        <f aca="false">IF(AND(V64&lt;&gt;"", V64&lt;$F$7), V64, G64)</f>
        <v>840.1</v>
      </c>
      <c r="H65" s="50" t="n">
        <f aca="false">IF(F65&gt;$F$7, ($G$2*($F$12/12)), 0)</f>
        <v>43.03125</v>
      </c>
      <c r="I65" s="50" t="n">
        <v>0</v>
      </c>
      <c r="J65" s="51" t="n">
        <f aca="false">IF(G65 = 0, 0, (H65+I65)/G65)</f>
        <v>0.0512215807641947</v>
      </c>
      <c r="K65" s="52" t="n">
        <f aca="false">G65</f>
        <v>840.1</v>
      </c>
      <c r="L65" s="50" t="n">
        <v>0</v>
      </c>
      <c r="M65" s="50" t="n">
        <f aca="false">IF(F65&gt;K65,K65-G65-N65+L65,0)</f>
        <v>0</v>
      </c>
      <c r="N65" s="50" t="n">
        <v>0</v>
      </c>
      <c r="O65" s="50" t="n">
        <f aca="false">(G65-R65-I65-H65)</f>
        <v>337.552512867137</v>
      </c>
      <c r="P65" s="51" t="n">
        <f aca="false">IF(G65 = 0, 0 , (O65/G65))</f>
        <v>0.401800396223232</v>
      </c>
      <c r="Q65" s="50" t="n">
        <f aca="false">SUM(L65:O65)</f>
        <v>337.552512867137</v>
      </c>
      <c r="R65" s="50" t="n">
        <f aca="false">F65*((1+$F$4)^(D65/360)-1)</f>
        <v>459.516237132863</v>
      </c>
      <c r="S65" s="51" t="n">
        <f aca="false">R65/G65</f>
        <v>0.546978023012574</v>
      </c>
      <c r="T65" s="50" t="n">
        <f aca="false">L65+M65+O65+R65+H65+I65</f>
        <v>840.1</v>
      </c>
      <c r="U65" s="50" t="n">
        <f aca="false">F65-O65-M65-L65</f>
        <v>71168.4159630039</v>
      </c>
      <c r="V65" s="2" t="str">
        <f aca="false">IF(M65&gt;0, ROUND(PMT($F$9,$F$10-E65-2,-U65)+$G$2*$F$12/12, 2), "")</f>
        <v/>
      </c>
      <c r="W65" s="2"/>
      <c r="X65" s="2" t="e">
        <f aca="false">IF(V65 &gt; 0, (G65-V65), 0)</f>
        <v>#VALUE!</v>
      </c>
      <c r="Y65" s="2" t="e">
        <f aca="false">X65*(180-E65)-M65</f>
        <v>#VALUE!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5.75" hidden="false" customHeight="true" outlineLevel="0" collapsed="false">
      <c r="A66" s="45" t="s">
        <v>66</v>
      </c>
      <c r="B66" s="46" t="b">
        <f aca="false">FALSE()</f>
        <v>0</v>
      </c>
      <c r="C66" s="47" t="n">
        <v>47346</v>
      </c>
      <c r="D66" s="48" t="n">
        <f aca="false">C66-C65</f>
        <v>31</v>
      </c>
      <c r="E66" s="49" t="n">
        <v>47</v>
      </c>
      <c r="F66" s="50" t="n">
        <f aca="false">IF(U65&gt;0, U65, 0)</f>
        <v>71168.4159630039</v>
      </c>
      <c r="G66" s="50" t="n">
        <f aca="false">IF(AND(V65&lt;&gt;"", V65&lt;$F$7), V65, G65)</f>
        <v>840.1</v>
      </c>
      <c r="H66" s="50" t="n">
        <f aca="false">IF(F66&gt;$F$7, ($G$2*($F$12/12)), 0)</f>
        <v>43.03125</v>
      </c>
      <c r="I66" s="50" t="n">
        <v>0</v>
      </c>
      <c r="J66" s="51" t="n">
        <f aca="false">IF(G66 = 0, 0, (H66+I66)/G66)</f>
        <v>0.0512215807641947</v>
      </c>
      <c r="K66" s="52" t="n">
        <f aca="false">G66</f>
        <v>840.1</v>
      </c>
      <c r="L66" s="50" t="n">
        <v>0</v>
      </c>
      <c r="M66" s="50" t="n">
        <f aca="false">IF(F66&gt;K66,K66-G66-N66+L66,0)</f>
        <v>0</v>
      </c>
      <c r="N66" s="50" t="n">
        <v>0</v>
      </c>
      <c r="O66" s="50" t="n">
        <f aca="false">(G66-R66-I66-H66)</f>
        <v>324.426301077663</v>
      </c>
      <c r="P66" s="51" t="n">
        <f aca="false">IF(G66 = 0, 0 , (O66/G66))</f>
        <v>0.386175813686065</v>
      </c>
      <c r="Q66" s="50" t="n">
        <f aca="false">SUM(L66:O66)</f>
        <v>324.426301077663</v>
      </c>
      <c r="R66" s="50" t="n">
        <f aca="false">F66*((1+$F$4)^(D66/360)-1)</f>
        <v>472.642448922337</v>
      </c>
      <c r="S66" s="51" t="n">
        <f aca="false">R66/G66</f>
        <v>0.562602605549741</v>
      </c>
      <c r="T66" s="50" t="n">
        <f aca="false">L66+M66+O66+R66+H66+I66</f>
        <v>840.1</v>
      </c>
      <c r="U66" s="50" t="n">
        <f aca="false">F66-O66-M66-L66</f>
        <v>70843.9896619262</v>
      </c>
      <c r="V66" s="2" t="str">
        <f aca="false">IF(M66&gt;0, ROUND(PMT($F$9,$F$10-E66-2,-U66)+$G$2*$F$12/12, 2), "")</f>
        <v/>
      </c>
      <c r="W66" s="2"/>
      <c r="X66" s="2" t="e">
        <f aca="false">IF(V66 &gt; 0, (G66-V66), 0)</f>
        <v>#VALUE!</v>
      </c>
      <c r="Y66" s="2" t="e">
        <f aca="false">X66*(180-E66)-M66</f>
        <v>#VALUE!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5.75" hidden="false" customHeight="true" outlineLevel="0" collapsed="false">
      <c r="A67" s="55" t="s">
        <v>66</v>
      </c>
      <c r="B67" s="56" t="b">
        <f aca="false">FALSE()</f>
        <v>0</v>
      </c>
      <c r="C67" s="57" t="n">
        <v>47377</v>
      </c>
      <c r="D67" s="58" t="n">
        <f aca="false">C67-C66</f>
        <v>31</v>
      </c>
      <c r="E67" s="59" t="n">
        <v>48</v>
      </c>
      <c r="F67" s="60" t="n">
        <f aca="false">IF(U66&gt;0, U66, 0)</f>
        <v>70843.9896619262</v>
      </c>
      <c r="G67" s="60" t="n">
        <f aca="false">IF(AND(V66&lt;&gt;"", V66&lt;$F$7), V66, G66)</f>
        <v>840.1</v>
      </c>
      <c r="H67" s="60" t="n">
        <f aca="false">IF(F67&gt;$F$7, ($G$2*($F$12/12)), 0)</f>
        <v>43.03125</v>
      </c>
      <c r="I67" s="60" t="n">
        <v>0</v>
      </c>
      <c r="J67" s="60" t="n">
        <f aca="false">IF(G67 = 0, 0, (H67+I67)/G67)</f>
        <v>0.0512215807641947</v>
      </c>
      <c r="K67" s="60" t="n">
        <f aca="false">G67</f>
        <v>840.1</v>
      </c>
      <c r="L67" s="60" t="n">
        <v>0</v>
      </c>
      <c r="M67" s="60" t="n">
        <f aca="false">IF(F67&gt;K67,K67-G67-N67+L67,0)</f>
        <v>0</v>
      </c>
      <c r="N67" s="60" t="n">
        <v>0</v>
      </c>
      <c r="O67" s="60" t="n">
        <f aca="false">(G67-R67-I67-H67)</f>
        <v>326.580875397764</v>
      </c>
      <c r="P67" s="60" t="n">
        <f aca="false">IF(G67 = 0, 0 , (O67/G67))</f>
        <v>0.3887404777976</v>
      </c>
      <c r="Q67" s="60" t="n">
        <f aca="false">SUM(L67:O67)</f>
        <v>326.580875397764</v>
      </c>
      <c r="R67" s="60" t="n">
        <f aca="false">F67*((1+$F$4)^(D67/360)-1)</f>
        <v>470.487874602236</v>
      </c>
      <c r="S67" s="51" t="n">
        <f aca="false">R67/G67</f>
        <v>0.560037941438205</v>
      </c>
      <c r="T67" s="60" t="n">
        <f aca="false">L67+M67+O67+R67+H67+I67</f>
        <v>840.1</v>
      </c>
      <c r="U67" s="60" t="n">
        <f aca="false">F67-O67-M67-L67</f>
        <v>70517.4087865285</v>
      </c>
      <c r="V67" s="61" t="str">
        <f aca="false">IF(M67&gt;0, ROUND(PMT($F$9,$F$10-E67-2,-U67)+$G$2*$F$12/12, 2), "")</f>
        <v/>
      </c>
      <c r="W67" s="61" t="s">
        <v>72</v>
      </c>
      <c r="X67" s="2" t="e">
        <f aca="false">IF(V67 &gt; 0, (G67-V67), 0)</f>
        <v>#VALUE!</v>
      </c>
      <c r="Y67" s="2" t="e">
        <f aca="false">X67*(180-E67)-M67</f>
        <v>#VALUE!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5.75" hidden="false" customHeight="true" outlineLevel="0" collapsed="false">
      <c r="A68" s="45" t="s">
        <v>66</v>
      </c>
      <c r="B68" s="46" t="b">
        <f aca="false">FALSE()</f>
        <v>0</v>
      </c>
      <c r="C68" s="47" t="n">
        <v>47407</v>
      </c>
      <c r="D68" s="48" t="n">
        <f aca="false">C68-C67</f>
        <v>30</v>
      </c>
      <c r="E68" s="49" t="n">
        <v>49</v>
      </c>
      <c r="F68" s="50" t="n">
        <f aca="false">IF(U67&gt;0, U67, 0)</f>
        <v>70517.4087865285</v>
      </c>
      <c r="G68" s="50" t="n">
        <f aca="false">IF(AND(V67&lt;&gt;"", V67&lt;$F$7), V67, G67)</f>
        <v>840.1</v>
      </c>
      <c r="H68" s="50" t="n">
        <f aca="false">IF(F68&gt;$F$7, ($G$2*($F$12/12)), 0)</f>
        <v>43.03125</v>
      </c>
      <c r="I68" s="50" t="n">
        <v>0</v>
      </c>
      <c r="J68" s="51" t="n">
        <f aca="false">IF(G68 = 0, 0, (H68+I68)/G68)</f>
        <v>0.0512215807641947</v>
      </c>
      <c r="K68" s="52" t="n">
        <f aca="false">G68</f>
        <v>840.1</v>
      </c>
      <c r="L68" s="50" t="n">
        <v>0</v>
      </c>
      <c r="M68" s="50" t="n">
        <f aca="false">IF(F68&gt;K68,K68-G68-N68+L68,0)</f>
        <v>0</v>
      </c>
      <c r="N68" s="50" t="n">
        <v>0</v>
      </c>
      <c r="O68" s="50" t="n">
        <f aca="false">(G68-R68-I68-H68)</f>
        <v>343.905258495374</v>
      </c>
      <c r="P68" s="51" t="n">
        <f aca="false">IF(G68 = 0, 0 , (O68/G68))</f>
        <v>0.409362288412539</v>
      </c>
      <c r="Q68" s="50" t="n">
        <f aca="false">SUM(L68:O68)</f>
        <v>343.905258495374</v>
      </c>
      <c r="R68" s="50" t="n">
        <f aca="false">F68*((1+$F$4)^(D68/360)-1)</f>
        <v>453.163491504626</v>
      </c>
      <c r="S68" s="51" t="n">
        <f aca="false">R68/G68</f>
        <v>0.539416130823267</v>
      </c>
      <c r="T68" s="50" t="n">
        <f aca="false">L68+M68+O68+R68+H68+I68</f>
        <v>840.1</v>
      </c>
      <c r="U68" s="50" t="n">
        <f aca="false">F68-O68-M68-L68</f>
        <v>70173.5035280331</v>
      </c>
      <c r="V68" s="2" t="str">
        <f aca="false">IF(M68&gt;0, ROUND(PMT($F$9,$F$10-E68-2,-U68)+$G$2*$F$12/12, 2), "")</f>
        <v/>
      </c>
      <c r="W68" s="2"/>
      <c r="X68" s="2" t="e">
        <f aca="false">IF(V68 &gt; 0, (G68-V68), 0)</f>
        <v>#VALUE!</v>
      </c>
      <c r="Y68" s="2" t="e">
        <f aca="false">X68*(180-E68)-M68</f>
        <v>#VALUE!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5.75" hidden="false" customHeight="true" outlineLevel="0" collapsed="false">
      <c r="A69" s="45" t="s">
        <v>66</v>
      </c>
      <c r="B69" s="46" t="b">
        <f aca="false">FALSE()</f>
        <v>0</v>
      </c>
      <c r="C69" s="47" t="n">
        <v>47438</v>
      </c>
      <c r="D69" s="48" t="n">
        <f aca="false">C69-C68</f>
        <v>31</v>
      </c>
      <c r="E69" s="49" t="n">
        <v>50</v>
      </c>
      <c r="F69" s="50" t="n">
        <f aca="false">IF(U68&gt;0, U68, 0)</f>
        <v>70173.5035280331</v>
      </c>
      <c r="G69" s="50" t="n">
        <f aca="false">IF(AND(V68&lt;&gt;"", V68&lt;$F$7), V68, G68)</f>
        <v>840.1</v>
      </c>
      <c r="H69" s="50" t="n">
        <f aca="false">IF(F69&gt;$F$7, ($G$2*($F$12/12)), 0)</f>
        <v>43.03125</v>
      </c>
      <c r="I69" s="50" t="n">
        <v>0</v>
      </c>
      <c r="J69" s="51" t="n">
        <f aca="false">IF(G69 = 0, 0, (H69+I69)/G69)</f>
        <v>0.0512215807641947</v>
      </c>
      <c r="K69" s="52" t="n">
        <f aca="false">G69</f>
        <v>840.1</v>
      </c>
      <c r="L69" s="50" t="n">
        <v>0</v>
      </c>
      <c r="M69" s="50" t="n">
        <f aca="false">IF(F69&gt;K69,K69-G69-N69+L69,0)</f>
        <v>0</v>
      </c>
      <c r="N69" s="50" t="n">
        <v>0</v>
      </c>
      <c r="O69" s="50" t="n">
        <f aca="false">(G69-R69-I69-H69)</f>
        <v>331.03369627348</v>
      </c>
      <c r="P69" s="51" t="n">
        <f aca="false">IF(G69 = 0, 0 , (O69/G69))</f>
        <v>0.394040824036996</v>
      </c>
      <c r="Q69" s="50" t="n">
        <f aca="false">SUM(L69:O69)</f>
        <v>331.03369627348</v>
      </c>
      <c r="R69" s="50" t="n">
        <f aca="false">F69*((1+$F$4)^(D69/360)-1)</f>
        <v>466.03505372652</v>
      </c>
      <c r="S69" s="51" t="n">
        <f aca="false">R69/G69</f>
        <v>0.554737595198809</v>
      </c>
      <c r="T69" s="50" t="n">
        <f aca="false">L69+M69+O69+R69+H69+I69</f>
        <v>840.1</v>
      </c>
      <c r="U69" s="50" t="n">
        <f aca="false">F69-O69-M69-L69</f>
        <v>69842.4698317596</v>
      </c>
      <c r="V69" s="2" t="str">
        <f aca="false">IF(M69&gt;0, ROUND(PMT($F$9,$F$10-E69-2,-U69)+$G$2*$F$12/12, 2), "")</f>
        <v/>
      </c>
      <c r="W69" s="2"/>
      <c r="X69" s="2" t="e">
        <f aca="false">IF(V69 &gt; 0, (G69-V69), 0)</f>
        <v>#VALUE!</v>
      </c>
      <c r="Y69" s="2" t="e">
        <f aca="false">X69*(180-E69)-M69</f>
        <v>#VALUE!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5.75" hidden="false" customHeight="true" outlineLevel="0" collapsed="false">
      <c r="A70" s="45" t="s">
        <v>66</v>
      </c>
      <c r="B70" s="46" t="b">
        <f aca="false">FALSE()</f>
        <v>0</v>
      </c>
      <c r="C70" s="47" t="n">
        <v>47468</v>
      </c>
      <c r="D70" s="48" t="n">
        <f aca="false">C70-C69</f>
        <v>30</v>
      </c>
      <c r="E70" s="49" t="n">
        <v>51</v>
      </c>
      <c r="F70" s="50" t="n">
        <f aca="false">IF(U69&gt;0, U69, 0)</f>
        <v>69842.4698317596</v>
      </c>
      <c r="G70" s="50" t="n">
        <f aca="false">IF(AND(V69&lt;&gt;"", V69&lt;$F$7), V69, G69)</f>
        <v>840.1</v>
      </c>
      <c r="H70" s="50" t="n">
        <f aca="false">IF(F70&gt;$F$7, ($G$2*($F$12/12)), 0)</f>
        <v>43.03125</v>
      </c>
      <c r="I70" s="50" t="n">
        <v>0</v>
      </c>
      <c r="J70" s="51" t="n">
        <f aca="false">IF(G70 = 0, 0, (H70+I70)/G70)</f>
        <v>0.0512215807641947</v>
      </c>
      <c r="K70" s="52" t="n">
        <f aca="false">G70</f>
        <v>840.1</v>
      </c>
      <c r="L70" s="50" t="n">
        <v>0</v>
      </c>
      <c r="M70" s="50" t="n">
        <f aca="false">IF(F70&gt;K70,K70-G70-N70+L70,0)</f>
        <v>0</v>
      </c>
      <c r="N70" s="50" t="n">
        <v>0</v>
      </c>
      <c r="O70" s="50" t="n">
        <f aca="false">(G70-R70-I70-H70)</f>
        <v>348.242594460475</v>
      </c>
      <c r="P70" s="51" t="n">
        <f aca="false">IF(G70 = 0, 0 , (O70/G70))</f>
        <v>0.414525168980448</v>
      </c>
      <c r="Q70" s="50" t="n">
        <f aca="false">SUM(L70:O70)</f>
        <v>348.242594460475</v>
      </c>
      <c r="R70" s="50" t="n">
        <f aca="false">F70*((1+$F$4)^(D70/360)-1)</f>
        <v>448.826155539525</v>
      </c>
      <c r="S70" s="51" t="n">
        <f aca="false">R70/G70</f>
        <v>0.534253250255357</v>
      </c>
      <c r="T70" s="50" t="n">
        <f aca="false">L70+M70+O70+R70+H70+I70</f>
        <v>840.1</v>
      </c>
      <c r="U70" s="50" t="n">
        <f aca="false">F70-O70-M70-L70</f>
        <v>69494.2272372991</v>
      </c>
      <c r="V70" s="2" t="str">
        <f aca="false">IF(M70&gt;0, ROUND(PMT($F$9,$F$10-E70-2,-U70)+$G$2*$F$12/12, 2), "")</f>
        <v/>
      </c>
      <c r="W70" s="2"/>
      <c r="X70" s="2" t="e">
        <f aca="false">IF(V70 &gt; 0, (G70-V70), 0)</f>
        <v>#VALUE!</v>
      </c>
      <c r="Y70" s="2" t="e">
        <f aca="false">X70*(180-E70)-M70</f>
        <v>#VALUE!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5.75" hidden="false" customHeight="true" outlineLevel="0" collapsed="false">
      <c r="A71" s="45" t="s">
        <v>66</v>
      </c>
      <c r="B71" s="46" t="b">
        <f aca="false">FALSE()</f>
        <v>0</v>
      </c>
      <c r="C71" s="47" t="n">
        <v>47499</v>
      </c>
      <c r="D71" s="48" t="n">
        <f aca="false">C71-C70</f>
        <v>31</v>
      </c>
      <c r="E71" s="49" t="n">
        <v>52</v>
      </c>
      <c r="F71" s="50" t="n">
        <f aca="false">IF(U70&gt;0, U70, 0)</f>
        <v>69494.2272372991</v>
      </c>
      <c r="G71" s="50" t="n">
        <f aca="false">IF(AND(V70&lt;&gt;"", V70&lt;$F$7), V70, G70)</f>
        <v>840.1</v>
      </c>
      <c r="H71" s="50" t="n">
        <f aca="false">IF(F71&gt;$F$7, ($G$2*($F$12/12)), 0)</f>
        <v>43.03125</v>
      </c>
      <c r="I71" s="50" t="n">
        <v>0</v>
      </c>
      <c r="J71" s="51" t="n">
        <f aca="false">IF(G71 = 0, 0, (H71+I71)/G71)</f>
        <v>0.0512215807641947</v>
      </c>
      <c r="K71" s="52" t="n">
        <f aca="false">G71</f>
        <v>840.1</v>
      </c>
      <c r="L71" s="50" t="n">
        <v>0</v>
      </c>
      <c r="M71" s="50" t="n">
        <f aca="false">IF(F71&gt;K71,K71-G71-N71+L71,0)</f>
        <v>0</v>
      </c>
      <c r="N71" s="50" t="n">
        <v>0</v>
      </c>
      <c r="O71" s="50" t="n">
        <f aca="false">(G71-R71-I71-H71)</f>
        <v>335.544894186249</v>
      </c>
      <c r="P71" s="51" t="n">
        <f aca="false">IF(G71 = 0, 0 , (O71/G71))</f>
        <v>0.399410658476669</v>
      </c>
      <c r="Q71" s="50" t="n">
        <f aca="false">SUM(L71:O71)</f>
        <v>335.544894186249</v>
      </c>
      <c r="R71" s="50" t="n">
        <f aca="false">F71*((1+$F$4)^(D71/360)-1)</f>
        <v>461.523855813751</v>
      </c>
      <c r="S71" s="51" t="n">
        <f aca="false">R71/G71</f>
        <v>0.549367760759137</v>
      </c>
      <c r="T71" s="50" t="n">
        <f aca="false">L71+M71+O71+R71+H71+I71</f>
        <v>840.1</v>
      </c>
      <c r="U71" s="50" t="n">
        <f aca="false">F71-O71-M71-L71</f>
        <v>69158.6823431129</v>
      </c>
      <c r="V71" s="2" t="str">
        <f aca="false">IF(M71&gt;0, ROUND(PMT($F$9,$F$10-E71-2,-U71)+$G$2*$F$12/12, 2), "")</f>
        <v/>
      </c>
      <c r="W71" s="2"/>
      <c r="X71" s="2" t="e">
        <f aca="false">IF(V71 &gt; 0, (G71-V71), 0)</f>
        <v>#VALUE!</v>
      </c>
      <c r="Y71" s="2" t="e">
        <f aca="false">X71*(180-E71)-M71</f>
        <v>#VALUE!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5.75" hidden="false" customHeight="true" outlineLevel="0" collapsed="false">
      <c r="A72" s="45" t="s">
        <v>66</v>
      </c>
      <c r="B72" s="46" t="b">
        <f aca="false">FALSE()</f>
        <v>0</v>
      </c>
      <c r="C72" s="47" t="n">
        <v>47530</v>
      </c>
      <c r="D72" s="48" t="n">
        <f aca="false">C72-C71</f>
        <v>31</v>
      </c>
      <c r="E72" s="49" t="n">
        <v>53</v>
      </c>
      <c r="F72" s="50" t="n">
        <f aca="false">IF(U71&gt;0, U71, 0)</f>
        <v>69158.6823431129</v>
      </c>
      <c r="G72" s="50" t="n">
        <f aca="false">IF(AND(V71&lt;&gt;"", V71&lt;$F$7), V71, G71)</f>
        <v>840.1</v>
      </c>
      <c r="H72" s="50" t="n">
        <f aca="false">IF(F72&gt;$F$7, ($G$2*($F$12/12)), 0)</f>
        <v>43.03125</v>
      </c>
      <c r="I72" s="50" t="n">
        <v>0</v>
      </c>
      <c r="J72" s="51" t="n">
        <f aca="false">IF(G72 = 0, 0, (H72+I72)/G72)</f>
        <v>0.0512215807641947</v>
      </c>
      <c r="K72" s="52" t="n">
        <f aca="false">G72</f>
        <v>840.1</v>
      </c>
      <c r="L72" s="50" t="n">
        <v>0</v>
      </c>
      <c r="M72" s="50" t="n">
        <f aca="false">IF(F72&gt;K72,K72-G72-N72+L72,0)</f>
        <v>0</v>
      </c>
      <c r="N72" s="50" t="n">
        <v>0</v>
      </c>
      <c r="O72" s="50" t="n">
        <f aca="false">(G72-R72-I72-H72)</f>
        <v>337.773309113933</v>
      </c>
      <c r="P72" s="51" t="n">
        <f aca="false">IF(G72 = 0, 0 , (O72/G72))</f>
        <v>0.402063217609729</v>
      </c>
      <c r="Q72" s="50" t="n">
        <f aca="false">SUM(L72:O72)</f>
        <v>337.773309113933</v>
      </c>
      <c r="R72" s="50" t="n">
        <f aca="false">F72*((1+$F$4)^(D72/360)-1)</f>
        <v>459.295440886067</v>
      </c>
      <c r="S72" s="51" t="n">
        <f aca="false">R72/G72</f>
        <v>0.546715201626076</v>
      </c>
      <c r="T72" s="50" t="n">
        <f aca="false">L72+M72+O72+R72+H72+I72</f>
        <v>840.1</v>
      </c>
      <c r="U72" s="50" t="n">
        <f aca="false">F72-O72-M72-L72</f>
        <v>68820.9090339989</v>
      </c>
      <c r="V72" s="2" t="str">
        <f aca="false">IF(M72&gt;0, ROUND(PMT($F$9,$F$10-E72-2,-U72)+$G$2*$F$12/12, 2), "")</f>
        <v/>
      </c>
      <c r="W72" s="2"/>
      <c r="X72" s="2" t="e">
        <f aca="false">IF(V72 &gt; 0, (G72-V72), 0)</f>
        <v>#VALUE!</v>
      </c>
      <c r="Y72" s="2" t="e">
        <f aca="false">X72*(180-E72)-M72</f>
        <v>#VALUE!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5.75" hidden="false" customHeight="true" outlineLevel="0" collapsed="false">
      <c r="A73" s="45" t="s">
        <v>66</v>
      </c>
      <c r="B73" s="46" t="b">
        <f aca="false">FALSE()</f>
        <v>0</v>
      </c>
      <c r="C73" s="47" t="n">
        <v>47558</v>
      </c>
      <c r="D73" s="48" t="n">
        <f aca="false">C73-C72</f>
        <v>28</v>
      </c>
      <c r="E73" s="49" t="n">
        <v>54</v>
      </c>
      <c r="F73" s="50" t="n">
        <f aca="false">IF(U72&gt;0, U72, 0)</f>
        <v>68820.9090339989</v>
      </c>
      <c r="G73" s="50" t="n">
        <f aca="false">IF(AND(V72&lt;&gt;"", V72&lt;$F$7), V72, G72)</f>
        <v>840.1</v>
      </c>
      <c r="H73" s="50" t="n">
        <f aca="false">IF(F73&gt;$F$7, ($G$2*($F$12/12)), 0)</f>
        <v>43.03125</v>
      </c>
      <c r="I73" s="50" t="n">
        <v>0</v>
      </c>
      <c r="J73" s="51" t="n">
        <f aca="false">IF(G73 = 0, 0, (H73+I73)/G73)</f>
        <v>0.0512215807641947</v>
      </c>
      <c r="K73" s="52" t="n">
        <f aca="false">G73</f>
        <v>840.1</v>
      </c>
      <c r="L73" s="50" t="n">
        <v>0</v>
      </c>
      <c r="M73" s="50" t="n">
        <f aca="false">IF(F73&gt;K73,K73-G73-N73+L73,0)</f>
        <v>0</v>
      </c>
      <c r="N73" s="50" t="n">
        <v>0</v>
      </c>
      <c r="O73" s="50" t="n">
        <f aca="false">(G73-R73-I73-H73)</f>
        <v>384.379722154673</v>
      </c>
      <c r="P73" s="51" t="n">
        <f aca="false">IF(G73 = 0, 0 , (O73/G73))</f>
        <v>0.457540438227202</v>
      </c>
      <c r="Q73" s="50" t="n">
        <f aca="false">SUM(L73:O73)</f>
        <v>384.379722154673</v>
      </c>
      <c r="R73" s="50" t="n">
        <f aca="false">F73*((1+$F$4)^(D73/360)-1)</f>
        <v>412.689027845327</v>
      </c>
      <c r="S73" s="51" t="n">
        <f aca="false">R73/G73</f>
        <v>0.491237981008603</v>
      </c>
      <c r="T73" s="50" t="n">
        <f aca="false">L73+M73+O73+R73+H73+I73</f>
        <v>840.1</v>
      </c>
      <c r="U73" s="50" t="n">
        <f aca="false">F73-O73-M73-L73</f>
        <v>68436.5293118443</v>
      </c>
      <c r="V73" s="2" t="str">
        <f aca="false">IF(M73&gt;0, ROUND(PMT($F$9,$F$10-E73-2,-U73)+$G$2*$F$12/12, 2), "")</f>
        <v/>
      </c>
      <c r="W73" s="2"/>
      <c r="X73" s="2" t="e">
        <f aca="false">IF(V73 &gt; 0, (G73-V73), 0)</f>
        <v>#VALUE!</v>
      </c>
      <c r="Y73" s="2" t="e">
        <f aca="false">X73*(180-E73)-M73</f>
        <v>#VALUE!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5.75" hidden="false" customHeight="true" outlineLevel="0" collapsed="false">
      <c r="A74" s="45" t="s">
        <v>66</v>
      </c>
      <c r="B74" s="46" t="b">
        <f aca="false">FALSE()</f>
        <v>0</v>
      </c>
      <c r="C74" s="47" t="n">
        <v>47589</v>
      </c>
      <c r="D74" s="48" t="n">
        <f aca="false">C74-C73</f>
        <v>31</v>
      </c>
      <c r="E74" s="49" t="n">
        <v>55</v>
      </c>
      <c r="F74" s="50" t="n">
        <f aca="false">IF(U73&gt;0, U73, 0)</f>
        <v>68436.5293118443</v>
      </c>
      <c r="G74" s="50" t="n">
        <f aca="false">IF(AND(V73&lt;&gt;"", V73&lt;$F$7), V73, G73)</f>
        <v>840.1</v>
      </c>
      <c r="H74" s="50" t="n">
        <f aca="false">IF(F74&gt;$F$7, ($G$2*($F$12/12)), 0)</f>
        <v>43.03125</v>
      </c>
      <c r="I74" s="50" t="n">
        <v>0</v>
      </c>
      <c r="J74" s="51" t="n">
        <f aca="false">IF(G74 = 0, 0, (H74+I74)/G74)</f>
        <v>0.0512215807641947</v>
      </c>
      <c r="K74" s="52" t="n">
        <f aca="false">G74</f>
        <v>840.1</v>
      </c>
      <c r="L74" s="50" t="n">
        <v>0</v>
      </c>
      <c r="M74" s="50" t="n">
        <f aca="false">IF(F74&gt;K74,K74-G74-N74+L74,0)</f>
        <v>0</v>
      </c>
      <c r="N74" s="50" t="n">
        <v>0</v>
      </c>
      <c r="O74" s="50" t="n">
        <f aca="false">(G74-R74-I74-H74)</f>
        <v>342.569259291789</v>
      </c>
      <c r="P74" s="51" t="n">
        <f aca="false">IF(G74 = 0, 0 , (O74/G74))</f>
        <v>0.407772002489929</v>
      </c>
      <c r="Q74" s="50" t="n">
        <f aca="false">SUM(L74:O74)</f>
        <v>342.569259291789</v>
      </c>
      <c r="R74" s="50" t="n">
        <f aca="false">F74*((1+$F$4)^(D74/360)-1)</f>
        <v>454.499490708211</v>
      </c>
      <c r="S74" s="51" t="n">
        <f aca="false">R74/G74</f>
        <v>0.541006416745877</v>
      </c>
      <c r="T74" s="50" t="n">
        <f aca="false">L74+M74+O74+R74+H74+I74</f>
        <v>840.1</v>
      </c>
      <c r="U74" s="50" t="n">
        <f aca="false">F74-O74-M74-L74</f>
        <v>68093.9600525525</v>
      </c>
      <c r="V74" s="2" t="str">
        <f aca="false">IF(M74&gt;0, ROUND(PMT($F$9,$F$10-E74-2,-U74)+$G$2*$F$12/12, 2), "")</f>
        <v/>
      </c>
      <c r="W74" s="2"/>
      <c r="X74" s="2" t="e">
        <f aca="false">IF(V74 &gt; 0, (G74-V74), 0)</f>
        <v>#VALUE!</v>
      </c>
      <c r="Y74" s="2" t="e">
        <f aca="false">X74*(180-E74)-M74</f>
        <v>#VALUE!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5.75" hidden="false" customHeight="true" outlineLevel="0" collapsed="false">
      <c r="A75" s="45" t="s">
        <v>66</v>
      </c>
      <c r="B75" s="46" t="b">
        <f aca="false">FALSE()</f>
        <v>0</v>
      </c>
      <c r="C75" s="47" t="n">
        <v>47619</v>
      </c>
      <c r="D75" s="48" t="n">
        <f aca="false">C75-C74</f>
        <v>30</v>
      </c>
      <c r="E75" s="49" t="n">
        <v>56</v>
      </c>
      <c r="F75" s="50" t="n">
        <f aca="false">IF(U74&gt;0, U74, 0)</f>
        <v>68093.9600525525</v>
      </c>
      <c r="G75" s="50" t="n">
        <f aca="false">IF(AND(V74&lt;&gt;"", V74&lt;$F$7), V74, G74)</f>
        <v>840.1</v>
      </c>
      <c r="H75" s="50" t="n">
        <f aca="false">IF(F75&gt;$F$7, ($G$2*($F$12/12)), 0)</f>
        <v>43.03125</v>
      </c>
      <c r="I75" s="50" t="n">
        <v>0</v>
      </c>
      <c r="J75" s="51" t="n">
        <f aca="false">IF(G75 = 0, 0, (H75+I75)/G75)</f>
        <v>0.0512215807641947</v>
      </c>
      <c r="K75" s="52" t="n">
        <f aca="false">G75</f>
        <v>840.1</v>
      </c>
      <c r="L75" s="50" t="n">
        <v>0</v>
      </c>
      <c r="M75" s="50" t="n">
        <f aca="false">IF(F75&gt;K75,K75-G75-N75+L75,0)</f>
        <v>0</v>
      </c>
      <c r="N75" s="50" t="n">
        <v>0</v>
      </c>
      <c r="O75" s="50" t="n">
        <f aca="false">(G75-R75-I75-H75)</f>
        <v>359.478980058166</v>
      </c>
      <c r="P75" s="51" t="n">
        <f aca="false">IF(G75 = 0, 0 , (O75/G75))</f>
        <v>0.427900226232789</v>
      </c>
      <c r="Q75" s="50" t="n">
        <f aca="false">SUM(L75:O75)</f>
        <v>359.478980058166</v>
      </c>
      <c r="R75" s="50" t="n">
        <f aca="false">F75*((1+$F$4)^(D75/360)-1)</f>
        <v>437.589769941834</v>
      </c>
      <c r="S75" s="51" t="n">
        <f aca="false">R75/G75</f>
        <v>0.520878193003016</v>
      </c>
      <c r="T75" s="50" t="n">
        <f aca="false">L75+M75+O75+R75+H75+I75</f>
        <v>840.1</v>
      </c>
      <c r="U75" s="50" t="n">
        <f aca="false">F75-O75-M75-L75</f>
        <v>67734.4810724943</v>
      </c>
      <c r="V75" s="2" t="str">
        <f aca="false">IF(M75&gt;0, ROUND(PMT($F$9,$F$10-E75-2,-U75)+$G$2*$F$12/12, 2), "")</f>
        <v/>
      </c>
      <c r="W75" s="2"/>
      <c r="X75" s="2" t="e">
        <f aca="false">IF(V75 &gt; 0, (G75-V75), 0)</f>
        <v>#VALUE!</v>
      </c>
      <c r="Y75" s="2" t="e">
        <f aca="false">X75*(180-E75)-M75</f>
        <v>#VALUE!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5.75" hidden="false" customHeight="true" outlineLevel="0" collapsed="false">
      <c r="A76" s="45" t="s">
        <v>66</v>
      </c>
      <c r="B76" s="46" t="b">
        <f aca="false">FALSE()</f>
        <v>0</v>
      </c>
      <c r="C76" s="47" t="n">
        <v>47650</v>
      </c>
      <c r="D76" s="48" t="n">
        <f aca="false">C76-C75</f>
        <v>31</v>
      </c>
      <c r="E76" s="49" t="n">
        <v>57</v>
      </c>
      <c r="F76" s="50" t="n">
        <f aca="false">IF(U75&gt;0, U75, 0)</f>
        <v>67734.4810724943</v>
      </c>
      <c r="G76" s="50" t="n">
        <f aca="false">IF(AND(V75&lt;&gt;"", V75&lt;$F$7), V75, G75)</f>
        <v>840.1</v>
      </c>
      <c r="H76" s="50" t="n">
        <f aca="false">IF(F76&gt;$F$7, ($G$2*($F$12/12)), 0)</f>
        <v>43.03125</v>
      </c>
      <c r="I76" s="50" t="n">
        <v>0</v>
      </c>
      <c r="J76" s="51" t="n">
        <f aca="false">IF(G76 = 0, 0, (H76+I76)/G76)</f>
        <v>0.0512215807641947</v>
      </c>
      <c r="K76" s="52" t="n">
        <f aca="false">G76</f>
        <v>840.1</v>
      </c>
      <c r="L76" s="50" t="n">
        <v>0</v>
      </c>
      <c r="M76" s="50" t="n">
        <f aca="false">IF(F76&gt;K76,K76-G76-N76+L76,0)</f>
        <v>0</v>
      </c>
      <c r="N76" s="50" t="n">
        <v>0</v>
      </c>
      <c r="O76" s="50" t="n">
        <f aca="false">(G76-R76-I76-H76)</f>
        <v>347.231689874486</v>
      </c>
      <c r="P76" s="51" t="n">
        <f aca="false">IF(G76 = 0, 0 , (O76/G76))</f>
        <v>0.413321854391722</v>
      </c>
      <c r="Q76" s="50" t="n">
        <f aca="false">SUM(L76:O76)</f>
        <v>347.231689874486</v>
      </c>
      <c r="R76" s="50" t="n">
        <f aca="false">F76*((1+$F$4)^(D76/360)-1)</f>
        <v>449.837060125514</v>
      </c>
      <c r="S76" s="51" t="n">
        <f aca="false">R76/G76</f>
        <v>0.535456564844083</v>
      </c>
      <c r="T76" s="50" t="n">
        <f aca="false">L76+M76+O76+R76+H76+I76</f>
        <v>840.1</v>
      </c>
      <c r="U76" s="50" t="n">
        <f aca="false">F76-O76-M76-L76</f>
        <v>67387.2493826198</v>
      </c>
      <c r="V76" s="2" t="str">
        <f aca="false">IF(M76&gt;0, ROUND(PMT($F$9,$F$10-E76-2,-U76)+$G$2*$F$12/12, 2), "")</f>
        <v/>
      </c>
      <c r="W76" s="2"/>
      <c r="X76" s="2" t="e">
        <f aca="false">IF(V76 &gt; 0, (G76-V76), 0)</f>
        <v>#VALUE!</v>
      </c>
      <c r="Y76" s="2" t="e">
        <f aca="false">X76*(180-E76)-M76</f>
        <v>#VALUE!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5.75" hidden="false" customHeight="true" outlineLevel="0" collapsed="false">
      <c r="A77" s="45" t="s">
        <v>66</v>
      </c>
      <c r="B77" s="46" t="b">
        <f aca="false">FALSE()</f>
        <v>0</v>
      </c>
      <c r="C77" s="47" t="n">
        <v>47680</v>
      </c>
      <c r="D77" s="48" t="n">
        <f aca="false">C77-C76</f>
        <v>30</v>
      </c>
      <c r="E77" s="49" t="n">
        <v>58</v>
      </c>
      <c r="F77" s="50" t="n">
        <f aca="false">IF(U76&gt;0, U76, 0)</f>
        <v>67387.2493826198</v>
      </c>
      <c r="G77" s="50" t="n">
        <f aca="false">IF(AND(V76&lt;&gt;"", V76&lt;$F$7), V76, G76)</f>
        <v>840.1</v>
      </c>
      <c r="H77" s="50" t="n">
        <f aca="false">IF(F77&gt;$F$7, ($G$2*($F$12/12)), 0)</f>
        <v>43.03125</v>
      </c>
      <c r="I77" s="50" t="n">
        <v>0</v>
      </c>
      <c r="J77" s="51" t="n">
        <f aca="false">IF(G77 = 0, 0, (H77+I77)/G77)</f>
        <v>0.0512215807641947</v>
      </c>
      <c r="K77" s="52" t="n">
        <f aca="false">G77</f>
        <v>840.1</v>
      </c>
      <c r="L77" s="50" t="n">
        <v>0</v>
      </c>
      <c r="M77" s="50" t="n">
        <f aca="false">IF(F77&gt;K77,K77-G77-N77+L77,0)</f>
        <v>0</v>
      </c>
      <c r="N77" s="50" t="n">
        <v>0</v>
      </c>
      <c r="O77" s="50" t="n">
        <f aca="false">(G77-R77-I77-H77)</f>
        <v>364.020489455367</v>
      </c>
      <c r="P77" s="51" t="n">
        <f aca="false">IF(G77 = 0, 0 , (O77/G77))</f>
        <v>0.433306141477642</v>
      </c>
      <c r="Q77" s="50" t="n">
        <f aca="false">SUM(L77:O77)</f>
        <v>364.020489455367</v>
      </c>
      <c r="R77" s="50" t="n">
        <f aca="false">F77*((1+$F$4)^(D77/360)-1)</f>
        <v>433.048260544633</v>
      </c>
      <c r="S77" s="51" t="n">
        <f aca="false">R77/G77</f>
        <v>0.515472277758163</v>
      </c>
      <c r="T77" s="50" t="n">
        <f aca="false">L77+M77+O77+R77+H77+I77</f>
        <v>840.1</v>
      </c>
      <c r="U77" s="50" t="n">
        <f aca="false">F77-O77-M77-L77</f>
        <v>67023.2288931645</v>
      </c>
      <c r="V77" s="2" t="str">
        <f aca="false">IF(M77&gt;0, ROUND(PMT($F$9,$F$10-E77-2,-U77)+$G$2*$F$12/12, 2), "")</f>
        <v/>
      </c>
      <c r="W77" s="2"/>
      <c r="X77" s="2" t="e">
        <f aca="false">IF(V77 &gt; 0, (G77-V77), 0)</f>
        <v>#VALUE!</v>
      </c>
      <c r="Y77" s="2" t="e">
        <f aca="false">X77*(180-E77)-M77</f>
        <v>#VALUE!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5.75" hidden="false" customHeight="true" outlineLevel="0" collapsed="false">
      <c r="A78" s="45" t="s">
        <v>66</v>
      </c>
      <c r="B78" s="46" t="b">
        <f aca="false">FALSE()</f>
        <v>0</v>
      </c>
      <c r="C78" s="47" t="n">
        <v>47711</v>
      </c>
      <c r="D78" s="48" t="n">
        <f aca="false">C78-C77</f>
        <v>31</v>
      </c>
      <c r="E78" s="49" t="n">
        <v>59</v>
      </c>
      <c r="F78" s="50" t="n">
        <f aca="false">IF(U77&gt;0, U77, 0)</f>
        <v>67023.2288931645</v>
      </c>
      <c r="G78" s="50" t="n">
        <f aca="false">IF(AND(V77&lt;&gt;"", V77&lt;$F$7), V77, G77)</f>
        <v>840.1</v>
      </c>
      <c r="H78" s="50" t="n">
        <f aca="false">IF(F78&gt;$F$7, ($G$2*($F$12/12)), 0)</f>
        <v>43.03125</v>
      </c>
      <c r="I78" s="50" t="n">
        <v>0</v>
      </c>
      <c r="J78" s="51" t="n">
        <f aca="false">IF(G78 = 0, 0, (H78+I78)/G78)</f>
        <v>0.0512215807641947</v>
      </c>
      <c r="K78" s="52" t="n">
        <f aca="false">G78</f>
        <v>840.1</v>
      </c>
      <c r="L78" s="50" t="n">
        <v>0</v>
      </c>
      <c r="M78" s="50" t="n">
        <f aca="false">IF(F78&gt;K78,K78-G78-N78+L78,0)</f>
        <v>0</v>
      </c>
      <c r="N78" s="50" t="n">
        <v>0</v>
      </c>
      <c r="O78" s="50" t="n">
        <f aca="false">(G78-R78-I78-H78)</f>
        <v>351.955245503637</v>
      </c>
      <c r="P78" s="51" t="n">
        <f aca="false">IF(G78 = 0, 0 , (O78/G78))</f>
        <v>0.418944465544146</v>
      </c>
      <c r="Q78" s="50" t="n">
        <f aca="false">SUM(L78:O78)</f>
        <v>351.955245503637</v>
      </c>
      <c r="R78" s="50" t="n">
        <f aca="false">F78*((1+$F$4)^(D78/360)-1)</f>
        <v>445.113504496363</v>
      </c>
      <c r="S78" s="51" t="n">
        <f aca="false">R78/G78</f>
        <v>0.52983395369166</v>
      </c>
      <c r="T78" s="50" t="n">
        <f aca="false">L78+M78+O78+R78+H78+I78</f>
        <v>840.1</v>
      </c>
      <c r="U78" s="50" t="n">
        <f aca="false">F78-O78-M78-L78</f>
        <v>66671.2736476608</v>
      </c>
      <c r="V78" s="2" t="str">
        <f aca="false">IF(M78&gt;0, ROUND(PMT($F$9,$F$10-E78-2,-U78)+$G$2*$F$12/12, 2), "")</f>
        <v/>
      </c>
      <c r="W78" s="2"/>
      <c r="X78" s="2" t="e">
        <f aca="false">IF(V78 &gt; 0, (G78-V78), 0)</f>
        <v>#VALUE!</v>
      </c>
      <c r="Y78" s="2" t="e">
        <f aca="false">X78*(180-E78)-M78</f>
        <v>#VALUE!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5.75" hidden="false" customHeight="true" outlineLevel="0" collapsed="false">
      <c r="A79" s="55" t="s">
        <v>66</v>
      </c>
      <c r="B79" s="56" t="b">
        <f aca="false">FALSE()</f>
        <v>0</v>
      </c>
      <c r="C79" s="57" t="n">
        <v>47742</v>
      </c>
      <c r="D79" s="58" t="n">
        <f aca="false">C79-C78</f>
        <v>31</v>
      </c>
      <c r="E79" s="59" t="n">
        <v>60</v>
      </c>
      <c r="F79" s="60" t="n">
        <f aca="false">IF(U78&gt;0, U78, 0)</f>
        <v>66671.2736476608</v>
      </c>
      <c r="G79" s="60" t="n">
        <f aca="false">IF(AND(V78&lt;&gt;"", V78&lt;$F$7), V78, G78)</f>
        <v>840.1</v>
      </c>
      <c r="H79" s="60" t="n">
        <f aca="false">IF(F79&gt;$F$7, ($G$2*($F$12/12)), 0)</f>
        <v>43.03125</v>
      </c>
      <c r="I79" s="60" t="n">
        <v>0</v>
      </c>
      <c r="J79" s="60" t="n">
        <f aca="false">IF(G79 = 0, 0, (H79+I79)/G79)</f>
        <v>0.0512215807641947</v>
      </c>
      <c r="K79" s="60" t="n">
        <f aca="false">G79</f>
        <v>840.1</v>
      </c>
      <c r="L79" s="60" t="n">
        <v>0</v>
      </c>
      <c r="M79" s="60" t="n">
        <f aca="false">IF(F79&gt;K79,K79-G79-N79+L79,0)</f>
        <v>0</v>
      </c>
      <c r="N79" s="60" t="n">
        <v>0</v>
      </c>
      <c r="O79" s="60" t="n">
        <f aca="false">(G79-R79-I79-H79)</f>
        <v>354.292644571678</v>
      </c>
      <c r="P79" s="60" t="n">
        <f aca="false">IF(G79 = 0, 0 , (O79/G79))</f>
        <v>0.421726752257681</v>
      </c>
      <c r="Q79" s="60" t="n">
        <f aca="false">SUM(L79:O79)</f>
        <v>354.292644571678</v>
      </c>
      <c r="R79" s="60" t="n">
        <f aca="false">F79*((1+$F$4)^(D79/360)-1)</f>
        <v>442.776105428322</v>
      </c>
      <c r="S79" s="51" t="n">
        <f aca="false">R79/G79</f>
        <v>0.527051666978124</v>
      </c>
      <c r="T79" s="60" t="n">
        <f aca="false">L79+M79+O79+R79+H79+I79</f>
        <v>840.1</v>
      </c>
      <c r="U79" s="60" t="n">
        <f aca="false">F79-O79-M79-L79</f>
        <v>66316.9810030892</v>
      </c>
      <c r="V79" s="61" t="str">
        <f aca="false">IF(M79&gt;0, ROUND(PMT($F$9,$F$10-E79-2,-U79)+$G$2*$F$12/12, 2), "")</f>
        <v/>
      </c>
      <c r="W79" s="61" t="s">
        <v>73</v>
      </c>
      <c r="X79" s="2" t="e">
        <f aca="false">IF(V79 &gt; 0, (G79-V79), 0)</f>
        <v>#VALUE!</v>
      </c>
      <c r="Y79" s="2" t="e">
        <f aca="false">X79*(180-E79)-M79</f>
        <v>#VALUE!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5.75" hidden="false" customHeight="true" outlineLevel="0" collapsed="false">
      <c r="A80" s="45" t="s">
        <v>66</v>
      </c>
      <c r="B80" s="46" t="b">
        <f aca="false">FALSE()</f>
        <v>0</v>
      </c>
      <c r="C80" s="47" t="n">
        <v>47772</v>
      </c>
      <c r="D80" s="48" t="n">
        <f aca="false">C80-C79</f>
        <v>30</v>
      </c>
      <c r="E80" s="49" t="n">
        <v>61</v>
      </c>
      <c r="F80" s="50" t="n">
        <f aca="false">IF(U79&gt;0, U79, 0)</f>
        <v>66316.9810030892</v>
      </c>
      <c r="G80" s="50" t="n">
        <f aca="false">IF(AND(V79&lt;&gt;"", V79&lt;$F$7), V79, G79)</f>
        <v>840.1</v>
      </c>
      <c r="H80" s="50" t="n">
        <f aca="false">IF(F80&gt;$F$7, ($G$2*($F$12/12)), 0)</f>
        <v>43.03125</v>
      </c>
      <c r="I80" s="50" t="n">
        <v>0</v>
      </c>
      <c r="J80" s="51" t="n">
        <f aca="false">IF(G80 = 0, 0, (H80+I80)/G80)</f>
        <v>0.0512215807641947</v>
      </c>
      <c r="K80" s="52" t="n">
        <f aca="false">G80</f>
        <v>840.1</v>
      </c>
      <c r="L80" s="50" t="n">
        <v>0</v>
      </c>
      <c r="M80" s="50" t="n">
        <f aca="false">IF(F80&gt;K80,K80-G80-N80+L80,0)</f>
        <v>0</v>
      </c>
      <c r="N80" s="50" t="n">
        <v>0</v>
      </c>
      <c r="O80" s="50" t="n">
        <f aca="false">(G80-R80-I80-H80)</f>
        <v>370.898316704853</v>
      </c>
      <c r="P80" s="51" t="n">
        <f aca="false">IF(G80 = 0, 0 , (O80/G80))</f>
        <v>0.441493056427631</v>
      </c>
      <c r="Q80" s="50" t="n">
        <f aca="false">SUM(L80:O80)</f>
        <v>370.898316704853</v>
      </c>
      <c r="R80" s="50" t="n">
        <f aca="false">F80*((1+$F$4)^(D80/360)-1)</f>
        <v>426.170433295147</v>
      </c>
      <c r="S80" s="51" t="n">
        <f aca="false">R80/G80</f>
        <v>0.507285362808174</v>
      </c>
      <c r="T80" s="50" t="n">
        <f aca="false">L80+M80+O80+R80+H80+I80</f>
        <v>840.1</v>
      </c>
      <c r="U80" s="50" t="n">
        <f aca="false">F80-O80-M80-L80</f>
        <v>65946.0826863843</v>
      </c>
      <c r="V80" s="2" t="str">
        <f aca="false">IF(M80&gt;0, ROUND(PMT($F$9,$F$10-E80-2,-U80)+$G$2*$F$12/12, 2), "")</f>
        <v/>
      </c>
      <c r="W80" s="2"/>
      <c r="X80" s="2" t="e">
        <f aca="false">IF(V80 &gt; 0, (G80-V80), 0)</f>
        <v>#VALUE!</v>
      </c>
      <c r="Y80" s="2" t="e">
        <f aca="false">X80*(180-E80)-M80</f>
        <v>#VALUE!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5.75" hidden="false" customHeight="true" outlineLevel="0" collapsed="false">
      <c r="A81" s="45" t="s">
        <v>66</v>
      </c>
      <c r="B81" s="46" t="b">
        <f aca="false">FALSE()</f>
        <v>0</v>
      </c>
      <c r="C81" s="47" t="n">
        <v>47803</v>
      </c>
      <c r="D81" s="48" t="n">
        <f aca="false">C81-C80</f>
        <v>31</v>
      </c>
      <c r="E81" s="49" t="n">
        <v>62</v>
      </c>
      <c r="F81" s="50" t="n">
        <f aca="false">IF(U80&gt;0, U80, 0)</f>
        <v>65946.0826863843</v>
      </c>
      <c r="G81" s="50" t="n">
        <f aca="false">IF(AND(V80&lt;&gt;"", V80&lt;$F$7), V80, G80)</f>
        <v>840.1</v>
      </c>
      <c r="H81" s="50" t="n">
        <f aca="false">IF(F81&gt;$F$7, ($G$2*($F$12/12)), 0)</f>
        <v>43.03125</v>
      </c>
      <c r="I81" s="50" t="n">
        <v>0</v>
      </c>
      <c r="J81" s="51" t="n">
        <f aca="false">IF(G81 = 0, 0, (H81+I81)/G81)</f>
        <v>0.0512215807641947</v>
      </c>
      <c r="K81" s="52" t="n">
        <f aca="false">G81</f>
        <v>840.1</v>
      </c>
      <c r="L81" s="50" t="n">
        <v>0</v>
      </c>
      <c r="M81" s="50" t="n">
        <f aca="false">IF(F81&gt;K81,K81-G81-N81+L81,0)</f>
        <v>0</v>
      </c>
      <c r="N81" s="50" t="n">
        <v>0</v>
      </c>
      <c r="O81" s="50" t="n">
        <f aca="false">(G81-R81-I81-H81)</f>
        <v>359.108770197577</v>
      </c>
      <c r="P81" s="51" t="n">
        <f aca="false">IF(G81 = 0, 0 , (O81/G81))</f>
        <v>0.427459552669417</v>
      </c>
      <c r="Q81" s="50" t="n">
        <f aca="false">SUM(L81:O81)</f>
        <v>359.108770197577</v>
      </c>
      <c r="R81" s="50" t="n">
        <f aca="false">F81*((1+$F$4)^(D81/360)-1)</f>
        <v>437.959979802423</v>
      </c>
      <c r="S81" s="51" t="n">
        <f aca="false">R81/G81</f>
        <v>0.521318866566388</v>
      </c>
      <c r="T81" s="50" t="n">
        <f aca="false">L81+M81+O81+R81+H81+I81</f>
        <v>840.1</v>
      </c>
      <c r="U81" s="50" t="n">
        <f aca="false">F81-O81-M81-L81</f>
        <v>65586.9739161867</v>
      </c>
      <c r="V81" s="2" t="str">
        <f aca="false">IF(M81&gt;0, ROUND(PMT($F$9,$F$10-E81-2,-U81)+$G$2*$F$12/12, 2), "")</f>
        <v/>
      </c>
      <c r="W81" s="2"/>
      <c r="X81" s="2" t="e">
        <f aca="false">IF(V81 &gt; 0, (G81-V81), 0)</f>
        <v>#VALUE!</v>
      </c>
      <c r="Y81" s="2" t="e">
        <f aca="false">X81*(180-E81)-M81</f>
        <v>#VALUE!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5.75" hidden="false" customHeight="true" outlineLevel="0" collapsed="false">
      <c r="A82" s="45" t="s">
        <v>66</v>
      </c>
      <c r="B82" s="46" t="b">
        <f aca="false">FALSE()</f>
        <v>0</v>
      </c>
      <c r="C82" s="47" t="n">
        <v>47833</v>
      </c>
      <c r="D82" s="48" t="n">
        <f aca="false">C82-C81</f>
        <v>30</v>
      </c>
      <c r="E82" s="49" t="n">
        <v>63</v>
      </c>
      <c r="F82" s="50" t="n">
        <f aca="false">IF(U81&gt;0, U81, 0)</f>
        <v>65586.9739161867</v>
      </c>
      <c r="G82" s="50" t="n">
        <f aca="false">IF(AND(V81&lt;&gt;"", V81&lt;$F$7), V81, G81)</f>
        <v>840.1</v>
      </c>
      <c r="H82" s="50" t="n">
        <f aca="false">IF(F82&gt;$F$7, ($G$2*($F$12/12)), 0)</f>
        <v>43.03125</v>
      </c>
      <c r="I82" s="50" t="n">
        <v>0</v>
      </c>
      <c r="J82" s="51" t="n">
        <f aca="false">IF(G82 = 0, 0, (H82+I82)/G82)</f>
        <v>0.0512215807641947</v>
      </c>
      <c r="K82" s="52" t="n">
        <f aca="false">G82</f>
        <v>840.1</v>
      </c>
      <c r="L82" s="50" t="n">
        <v>0</v>
      </c>
      <c r="M82" s="50" t="n">
        <f aca="false">IF(F82&gt;K82,K82-G82-N82+L82,0)</f>
        <v>0</v>
      </c>
      <c r="N82" s="50" t="n">
        <v>0</v>
      </c>
      <c r="O82" s="50" t="n">
        <f aca="false">(G82-R82-I82-H82)</f>
        <v>375.589535029753</v>
      </c>
      <c r="P82" s="51" t="n">
        <f aca="false">IF(G82 = 0, 0 , (O82/G82))</f>
        <v>0.447077175371685</v>
      </c>
      <c r="Q82" s="50" t="n">
        <f aca="false">SUM(L82:O82)</f>
        <v>375.589535029753</v>
      </c>
      <c r="R82" s="50" t="n">
        <f aca="false">F82*((1+$F$4)^(D82/360)-1)</f>
        <v>421.479214970247</v>
      </c>
      <c r="S82" s="51" t="n">
        <f aca="false">R82/G82</f>
        <v>0.50170124386412</v>
      </c>
      <c r="T82" s="50" t="n">
        <f aca="false">L82+M82+O82+R82+H82+I82</f>
        <v>840.1</v>
      </c>
      <c r="U82" s="50" t="n">
        <f aca="false">F82-O82-M82-L82</f>
        <v>65211.384381157</v>
      </c>
      <c r="V82" s="2" t="str">
        <f aca="false">IF(M82&gt;0, ROUND(PMT($F$9,$F$10-E82-2,-U82)+$G$2*$F$12/12, 2), "")</f>
        <v/>
      </c>
      <c r="W82" s="2"/>
      <c r="X82" s="2" t="e">
        <f aca="false">IF(V82 &gt; 0, (G82-V82), 0)</f>
        <v>#VALUE!</v>
      </c>
      <c r="Y82" s="2" t="e">
        <f aca="false">X82*(180-E82)-M82</f>
        <v>#VALUE!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5.75" hidden="false" customHeight="true" outlineLevel="0" collapsed="false">
      <c r="A83" s="45" t="s">
        <v>66</v>
      </c>
      <c r="B83" s="46" t="b">
        <f aca="false">FALSE()</f>
        <v>0</v>
      </c>
      <c r="C83" s="47" t="n">
        <v>47864</v>
      </c>
      <c r="D83" s="48" t="n">
        <f aca="false">C83-C82</f>
        <v>31</v>
      </c>
      <c r="E83" s="49" t="n">
        <v>64</v>
      </c>
      <c r="F83" s="50" t="n">
        <f aca="false">IF(U82&gt;0, U82, 0)</f>
        <v>65211.384381157</v>
      </c>
      <c r="G83" s="50" t="n">
        <f aca="false">IF(AND(V82&lt;&gt;"", V82&lt;$F$7), V82, G82)</f>
        <v>840.1</v>
      </c>
      <c r="H83" s="50" t="n">
        <f aca="false">IF(F83&gt;$F$7, ($G$2*($F$12/12)), 0)</f>
        <v>43.03125</v>
      </c>
      <c r="I83" s="50" t="n">
        <v>0</v>
      </c>
      <c r="J83" s="51" t="n">
        <f aca="false">IF(G83 = 0, 0, (H83+I83)/G83)</f>
        <v>0.0512215807641947</v>
      </c>
      <c r="K83" s="52" t="n">
        <f aca="false">G83</f>
        <v>840.1</v>
      </c>
      <c r="L83" s="50" t="n">
        <v>0</v>
      </c>
      <c r="M83" s="50" t="n">
        <f aca="false">IF(F83&gt;K83,K83-G83-N83+L83,0)</f>
        <v>0</v>
      </c>
      <c r="N83" s="50" t="n">
        <v>0</v>
      </c>
      <c r="O83" s="50" t="n">
        <f aca="false">(G83-R83-I83-H83)</f>
        <v>363.988035831117</v>
      </c>
      <c r="P83" s="51" t="n">
        <f aca="false">IF(G83 = 0, 0 , (O83/G83))</f>
        <v>0.433267510809567</v>
      </c>
      <c r="Q83" s="50" t="n">
        <f aca="false">SUM(L83:O83)</f>
        <v>363.988035831117</v>
      </c>
      <c r="R83" s="50" t="n">
        <f aca="false">F83*((1+$F$4)^(D83/360)-1)</f>
        <v>433.080714168883</v>
      </c>
      <c r="S83" s="51" t="n">
        <f aca="false">R83/G83</f>
        <v>0.515510908426239</v>
      </c>
      <c r="T83" s="50" t="n">
        <f aca="false">L83+M83+O83+R83+H83+I83</f>
        <v>840.1</v>
      </c>
      <c r="U83" s="50" t="n">
        <f aca="false">F83-O83-M83-L83</f>
        <v>64847.3963453259</v>
      </c>
      <c r="V83" s="2" t="str">
        <f aca="false">IF(M83&gt;0, ROUND(PMT($F$9,$F$10-E83-2,-U83)+$G$2*$F$12/12, 2), "")</f>
        <v/>
      </c>
      <c r="W83" s="2"/>
      <c r="X83" s="2" t="e">
        <f aca="false">IF(V83 &gt; 0, (G83-V83), 0)</f>
        <v>#VALUE!</v>
      </c>
      <c r="Y83" s="2" t="e">
        <f aca="false">X83*(180-E83)-M83</f>
        <v>#VALUE!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5.75" hidden="false" customHeight="true" outlineLevel="0" collapsed="false">
      <c r="A84" s="45" t="s">
        <v>66</v>
      </c>
      <c r="B84" s="46" t="b">
        <f aca="false">FALSE()</f>
        <v>0</v>
      </c>
      <c r="C84" s="47" t="n">
        <v>47895</v>
      </c>
      <c r="D84" s="48" t="n">
        <f aca="false">C84-C83</f>
        <v>31</v>
      </c>
      <c r="E84" s="49" t="n">
        <v>65</v>
      </c>
      <c r="F84" s="50" t="n">
        <f aca="false">IF(U83&gt;0, U83, 0)</f>
        <v>64847.3963453259</v>
      </c>
      <c r="G84" s="50" t="n">
        <f aca="false">IF(AND(V83&lt;&gt;"", V83&lt;$F$7), V83, G83)</f>
        <v>840.1</v>
      </c>
      <c r="H84" s="50" t="n">
        <f aca="false">IF(F84&gt;$F$7, ($G$2*($F$12/12)), 0)</f>
        <v>43.03125</v>
      </c>
      <c r="I84" s="50" t="n">
        <v>0</v>
      </c>
      <c r="J84" s="51" t="n">
        <f aca="false">IF(G84 = 0, 0, (H84+I84)/G84)</f>
        <v>0.0512215807641947</v>
      </c>
      <c r="K84" s="52" t="n">
        <f aca="false">G84</f>
        <v>840.1</v>
      </c>
      <c r="L84" s="50" t="n">
        <v>0</v>
      </c>
      <c r="M84" s="50" t="n">
        <f aca="false">IF(F84&gt;K84,K84-G84-N84+L84,0)</f>
        <v>0</v>
      </c>
      <c r="N84" s="50" t="n">
        <v>0</v>
      </c>
      <c r="O84" s="50" t="n">
        <f aca="false">(G84-R84-I84-H84)</f>
        <v>366.405346857445</v>
      </c>
      <c r="P84" s="51" t="n">
        <f aca="false">IF(G84 = 0, 0 , (O84/G84))</f>
        <v>0.436144919482734</v>
      </c>
      <c r="Q84" s="50" t="n">
        <f aca="false">SUM(L84:O84)</f>
        <v>366.405346857445</v>
      </c>
      <c r="R84" s="50" t="n">
        <f aca="false">F84*((1+$F$4)^(D84/360)-1)</f>
        <v>430.663403142555</v>
      </c>
      <c r="S84" s="51" t="n">
        <f aca="false">R84/G84</f>
        <v>0.512633499753071</v>
      </c>
      <c r="T84" s="50" t="n">
        <f aca="false">L84+M84+O84+R84+H84+I84</f>
        <v>840.1</v>
      </c>
      <c r="U84" s="50" t="n">
        <f aca="false">F84-O84-M84-L84</f>
        <v>64480.9909984684</v>
      </c>
      <c r="V84" s="2" t="str">
        <f aca="false">IF(M84&gt;0, ROUND(PMT($F$9,$F$10-E84-2,-U84)+$G$2*$F$12/12, 2), "")</f>
        <v/>
      </c>
      <c r="W84" s="2"/>
      <c r="X84" s="2" t="e">
        <f aca="false">IF(V84 &gt; 0, (G84-V84), 0)</f>
        <v>#VALUE!</v>
      </c>
      <c r="Y84" s="2" t="e">
        <f aca="false">X84*(180-E84)-M84</f>
        <v>#VALUE!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5.75" hidden="false" customHeight="true" outlineLevel="0" collapsed="false">
      <c r="A85" s="45" t="s">
        <v>66</v>
      </c>
      <c r="B85" s="46" t="b">
        <f aca="false">FALSE()</f>
        <v>0</v>
      </c>
      <c r="C85" s="47" t="n">
        <v>47923</v>
      </c>
      <c r="D85" s="48" t="n">
        <f aca="false">C85-C84</f>
        <v>28</v>
      </c>
      <c r="E85" s="49" t="n">
        <v>66</v>
      </c>
      <c r="F85" s="50" t="n">
        <f aca="false">IF(U84&gt;0, U84, 0)</f>
        <v>64480.9909984684</v>
      </c>
      <c r="G85" s="50" t="n">
        <f aca="false">IF(AND(V84&lt;&gt;"", V84&lt;$F$7), V84, G84)</f>
        <v>840.1</v>
      </c>
      <c r="H85" s="50" t="n">
        <f aca="false">IF(F85&gt;$F$7, ($G$2*($F$12/12)), 0)</f>
        <v>43.03125</v>
      </c>
      <c r="I85" s="50" t="n">
        <v>0</v>
      </c>
      <c r="J85" s="51" t="n">
        <f aca="false">IF(G85 = 0, 0, (H85+I85)/G85)</f>
        <v>0.0512215807641947</v>
      </c>
      <c r="K85" s="52" t="n">
        <f aca="false">G85</f>
        <v>840.1</v>
      </c>
      <c r="L85" s="50" t="n">
        <v>0</v>
      </c>
      <c r="M85" s="50" t="n">
        <f aca="false">IF(F85&gt;K85,K85-G85-N85+L85,0)</f>
        <v>0</v>
      </c>
      <c r="N85" s="50" t="n">
        <v>0</v>
      </c>
      <c r="O85" s="50" t="n">
        <f aca="false">(G85-R85-I85-H85)</f>
        <v>410.404321076008</v>
      </c>
      <c r="P85" s="51" t="n">
        <f aca="false">IF(G85 = 0, 0 , (O85/G85))</f>
        <v>0.488518415755276</v>
      </c>
      <c r="Q85" s="50" t="n">
        <f aca="false">SUM(L85:O85)</f>
        <v>410.404321076008</v>
      </c>
      <c r="R85" s="50" t="n">
        <f aca="false">F85*((1+$F$4)^(D85/360)-1)</f>
        <v>386.664428923993</v>
      </c>
      <c r="S85" s="51" t="n">
        <f aca="false">R85/G85</f>
        <v>0.460260003480529</v>
      </c>
      <c r="T85" s="50" t="n">
        <f aca="false">L85+M85+O85+R85+H85+I85</f>
        <v>840.1</v>
      </c>
      <c r="U85" s="50" t="n">
        <f aca="false">F85-O85-M85-L85</f>
        <v>64070.5866773924</v>
      </c>
      <c r="V85" s="2" t="str">
        <f aca="false">IF(M85&gt;0, ROUND(PMT($F$9,$F$10-E85-2,-U85)+$G$2*$F$12/12, 2), "")</f>
        <v/>
      </c>
      <c r="W85" s="2"/>
      <c r="X85" s="2" t="e">
        <f aca="false">IF(V85 &gt; 0, (G85-V85), 0)</f>
        <v>#VALUE!</v>
      </c>
      <c r="Y85" s="2" t="e">
        <f aca="false">X85*(180-E85)-M85</f>
        <v>#VALUE!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5.75" hidden="false" customHeight="true" outlineLevel="0" collapsed="false">
      <c r="A86" s="45" t="s">
        <v>66</v>
      </c>
      <c r="B86" s="46" t="b">
        <f aca="false">FALSE()</f>
        <v>0</v>
      </c>
      <c r="C86" s="47" t="n">
        <v>47954</v>
      </c>
      <c r="D86" s="48" t="n">
        <f aca="false">C86-C85</f>
        <v>31</v>
      </c>
      <c r="E86" s="49" t="n">
        <v>67</v>
      </c>
      <c r="F86" s="50" t="n">
        <f aca="false">IF(U85&gt;0, U85, 0)</f>
        <v>64070.5866773924</v>
      </c>
      <c r="G86" s="50" t="n">
        <f aca="false">IF(AND(V85&lt;&gt;"", V85&lt;$F$7), V85, G85)</f>
        <v>840.1</v>
      </c>
      <c r="H86" s="50" t="n">
        <f aca="false">IF(F86&gt;$F$7, ($G$2*($F$12/12)), 0)</f>
        <v>43.03125</v>
      </c>
      <c r="I86" s="50" t="n">
        <v>0</v>
      </c>
      <c r="J86" s="51" t="n">
        <f aca="false">IF(G86 = 0, 0, (H86+I86)/G86)</f>
        <v>0.0512215807641947</v>
      </c>
      <c r="K86" s="52" t="n">
        <f aca="false">G86</f>
        <v>840.1</v>
      </c>
      <c r="L86" s="50" t="n">
        <v>0</v>
      </c>
      <c r="M86" s="50" t="n">
        <f aca="false">IF(F86&gt;K86,K86-G86-N86+L86,0)</f>
        <v>0</v>
      </c>
      <c r="N86" s="50" t="n">
        <v>0</v>
      </c>
      <c r="O86" s="50" t="n">
        <f aca="false">(G86-R86-I86-H86)</f>
        <v>371.56428174212</v>
      </c>
      <c r="P86" s="51" t="n">
        <f aca="false">IF(G86 = 0, 0 , (O86/G86))</f>
        <v>0.442285777576622</v>
      </c>
      <c r="Q86" s="50" t="n">
        <f aca="false">SUM(L86:O86)</f>
        <v>371.56428174212</v>
      </c>
      <c r="R86" s="50" t="n">
        <f aca="false">F86*((1+$F$4)^(D86/360)-1)</f>
        <v>425.50446825788</v>
      </c>
      <c r="S86" s="51" t="n">
        <f aca="false">R86/G86</f>
        <v>0.506492641659184</v>
      </c>
      <c r="T86" s="50" t="n">
        <f aca="false">L86+M86+O86+R86+H86+I86</f>
        <v>840.1</v>
      </c>
      <c r="U86" s="50" t="n">
        <f aca="false">F86-O86-M86-L86</f>
        <v>63699.0223956503</v>
      </c>
      <c r="V86" s="2" t="str">
        <f aca="false">IF(M86&gt;0, ROUND(PMT($F$9,$F$10-E86-2,-U86)+$G$2*$F$12/12, 2), "")</f>
        <v/>
      </c>
      <c r="W86" s="2"/>
      <c r="X86" s="2" t="e">
        <f aca="false">IF(V86 &gt; 0, (G86-V86), 0)</f>
        <v>#VALUE!</v>
      </c>
      <c r="Y86" s="2" t="e">
        <f aca="false">X86*(180-E86)-M86</f>
        <v>#VALUE!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5.75" hidden="false" customHeight="true" outlineLevel="0" collapsed="false">
      <c r="A87" s="45" t="s">
        <v>66</v>
      </c>
      <c r="B87" s="46" t="b">
        <f aca="false">FALSE()</f>
        <v>0</v>
      </c>
      <c r="C87" s="47" t="n">
        <v>47984</v>
      </c>
      <c r="D87" s="48" t="n">
        <f aca="false">C87-C86</f>
        <v>30</v>
      </c>
      <c r="E87" s="49" t="n">
        <v>68</v>
      </c>
      <c r="F87" s="50" t="n">
        <f aca="false">IF(U86&gt;0, U86, 0)</f>
        <v>63699.0223956503</v>
      </c>
      <c r="G87" s="50" t="n">
        <f aca="false">IF(AND(V86&lt;&gt;"", V86&lt;$F$7), V86, G86)</f>
        <v>840.1</v>
      </c>
      <c r="H87" s="50" t="n">
        <f aca="false">IF(F87&gt;$F$7, ($G$2*($F$12/12)), 0)</f>
        <v>43.03125</v>
      </c>
      <c r="I87" s="50" t="n">
        <v>0</v>
      </c>
      <c r="J87" s="51" t="n">
        <f aca="false">IF(G87 = 0, 0, (H87+I87)/G87)</f>
        <v>0.0512215807641947</v>
      </c>
      <c r="K87" s="52" t="n">
        <f aca="false">G87</f>
        <v>840.1</v>
      </c>
      <c r="L87" s="50" t="n">
        <v>0</v>
      </c>
      <c r="M87" s="50" t="n">
        <f aca="false">IF(F87&gt;K87,K87-G87-N87+L87,0)</f>
        <v>0</v>
      </c>
      <c r="N87" s="50" t="n">
        <v>0</v>
      </c>
      <c r="O87" s="50" t="n">
        <f aca="false">(G87-R87-I87-H87)</f>
        <v>387.722010081803</v>
      </c>
      <c r="P87" s="51" t="n">
        <f aca="false">IF(G87 = 0, 0 , (O87/G87))</f>
        <v>0.461518878802289</v>
      </c>
      <c r="Q87" s="50" t="n">
        <f aca="false">SUM(L87:O87)</f>
        <v>387.722010081803</v>
      </c>
      <c r="R87" s="50" t="n">
        <f aca="false">F87*((1+$F$4)^(D87/360)-1)</f>
        <v>409.346739918197</v>
      </c>
      <c r="S87" s="51" t="n">
        <f aca="false">R87/G87</f>
        <v>0.487259540433517</v>
      </c>
      <c r="T87" s="50" t="n">
        <f aca="false">L87+M87+O87+R87+H87+I87</f>
        <v>840.1</v>
      </c>
      <c r="U87" s="50" t="n">
        <f aca="false">F87-O87-M87-L87</f>
        <v>63311.3003855685</v>
      </c>
      <c r="V87" s="2" t="str">
        <f aca="false">IF(M87&gt;0, ROUND(PMT($F$9,$F$10-E87-2,-U87)+$G$2*$F$12/12, 2), "")</f>
        <v/>
      </c>
      <c r="W87" s="2"/>
      <c r="X87" s="2" t="e">
        <f aca="false">IF(V87 &gt; 0, (G87-V87), 0)</f>
        <v>#VALUE!</v>
      </c>
      <c r="Y87" s="2" t="e">
        <f aca="false">X87*(180-E87)-M87</f>
        <v>#VALUE!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5.75" hidden="false" customHeight="true" outlineLevel="0" collapsed="false">
      <c r="A88" s="45" t="s">
        <v>66</v>
      </c>
      <c r="B88" s="46" t="b">
        <f aca="false">FALSE()</f>
        <v>0</v>
      </c>
      <c r="C88" s="47" t="n">
        <v>48015</v>
      </c>
      <c r="D88" s="48" t="n">
        <f aca="false">C88-C87</f>
        <v>31</v>
      </c>
      <c r="E88" s="49" t="n">
        <v>69</v>
      </c>
      <c r="F88" s="50" t="n">
        <f aca="false">IF(U87&gt;0, U87, 0)</f>
        <v>63311.3003855685</v>
      </c>
      <c r="G88" s="50" t="n">
        <f aca="false">IF(AND(V87&lt;&gt;"", V87&lt;$F$7), V87, G87)</f>
        <v>840.1</v>
      </c>
      <c r="H88" s="50" t="n">
        <f aca="false">IF(F88&gt;$F$7, ($G$2*($F$12/12)), 0)</f>
        <v>43.03125</v>
      </c>
      <c r="I88" s="50" t="n">
        <v>0</v>
      </c>
      <c r="J88" s="51" t="n">
        <f aca="false">IF(G88 = 0, 0, (H88+I88)/G88)</f>
        <v>0.0512215807641947</v>
      </c>
      <c r="K88" s="52" t="n">
        <f aca="false">G88</f>
        <v>840.1</v>
      </c>
      <c r="L88" s="50" t="n">
        <v>0</v>
      </c>
      <c r="M88" s="50" t="n">
        <f aca="false">IF(F88&gt;K88,K88-G88-N88+L88,0)</f>
        <v>0</v>
      </c>
      <c r="N88" s="50" t="n">
        <v>0</v>
      </c>
      <c r="O88" s="50" t="n">
        <f aca="false">(G88-R88-I88-H88)</f>
        <v>376.606840685505</v>
      </c>
      <c r="P88" s="51" t="n">
        <f aca="false">IF(G88 = 0, 0 , (O88/G88))</f>
        <v>0.448288109374485</v>
      </c>
      <c r="Q88" s="50" t="n">
        <f aca="false">SUM(L88:O88)</f>
        <v>376.606840685505</v>
      </c>
      <c r="R88" s="50" t="n">
        <f aca="false">F88*((1+$F$4)^(D88/360)-1)</f>
        <v>420.461909314495</v>
      </c>
      <c r="S88" s="51" t="n">
        <f aca="false">R88/G88</f>
        <v>0.50049030986132</v>
      </c>
      <c r="T88" s="50" t="n">
        <f aca="false">L88+M88+O88+R88+H88+I88</f>
        <v>840.1</v>
      </c>
      <c r="U88" s="50" t="n">
        <f aca="false">F88-O88-M88-L88</f>
        <v>62934.693544883</v>
      </c>
      <c r="V88" s="2" t="str">
        <f aca="false">IF(M88&gt;0, ROUND(PMT($F$9,$F$10-E88-2,-U88)+$G$2*$F$12/12, 2), "")</f>
        <v/>
      </c>
      <c r="W88" s="2"/>
      <c r="X88" s="2" t="e">
        <f aca="false">IF(V88 &gt; 0, (G88-V88), 0)</f>
        <v>#VALUE!</v>
      </c>
      <c r="Y88" s="2" t="e">
        <f aca="false">X88*(180-E88)-M88</f>
        <v>#VALUE!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5.75" hidden="false" customHeight="true" outlineLevel="0" collapsed="false">
      <c r="A89" s="45" t="s">
        <v>66</v>
      </c>
      <c r="B89" s="46" t="b">
        <f aca="false">FALSE()</f>
        <v>0</v>
      </c>
      <c r="C89" s="47" t="n">
        <v>48045</v>
      </c>
      <c r="D89" s="48" t="n">
        <f aca="false">C89-C88</f>
        <v>30</v>
      </c>
      <c r="E89" s="49" t="n">
        <v>70</v>
      </c>
      <c r="F89" s="50" t="n">
        <f aca="false">IF(U88&gt;0, U88, 0)</f>
        <v>62934.693544883</v>
      </c>
      <c r="G89" s="50" t="n">
        <f aca="false">IF(AND(V88&lt;&gt;"", V88&lt;$F$7), V88, G88)</f>
        <v>840.1</v>
      </c>
      <c r="H89" s="50" t="n">
        <f aca="false">IF(F89&gt;$F$7, ($G$2*($F$12/12)), 0)</f>
        <v>43.03125</v>
      </c>
      <c r="I89" s="50" t="n">
        <v>0</v>
      </c>
      <c r="J89" s="51" t="n">
        <f aca="false">IF(G89 = 0, 0, (H89+I89)/G89)</f>
        <v>0.0512215807641947</v>
      </c>
      <c r="K89" s="52" t="n">
        <f aca="false">G89</f>
        <v>840.1</v>
      </c>
      <c r="L89" s="50" t="n">
        <v>0</v>
      </c>
      <c r="M89" s="50" t="n">
        <f aca="false">IF(F89&gt;K89,K89-G89-N89+L89,0)</f>
        <v>0</v>
      </c>
      <c r="N89" s="50" t="n">
        <v>0</v>
      </c>
      <c r="O89" s="50" t="n">
        <f aca="false">(G89-R89-I89-H89)</f>
        <v>392.633789125187</v>
      </c>
      <c r="P89" s="51" t="n">
        <f aca="false">IF(G89 = 0, 0 , (O89/G89))</f>
        <v>0.467365538775368</v>
      </c>
      <c r="Q89" s="50" t="n">
        <f aca="false">SUM(L89:O89)</f>
        <v>392.633789125187</v>
      </c>
      <c r="R89" s="50" t="n">
        <f aca="false">F89*((1+$F$4)^(D89/360)-1)</f>
        <v>404.434960874813</v>
      </c>
      <c r="S89" s="51" t="n">
        <f aca="false">R89/G89</f>
        <v>0.481412880460437</v>
      </c>
      <c r="T89" s="50" t="n">
        <f aca="false">L89+M89+O89+R89+H89+I89</f>
        <v>840.1</v>
      </c>
      <c r="U89" s="50" t="n">
        <f aca="false">F89-O89-M89-L89</f>
        <v>62542.0597557578</v>
      </c>
      <c r="V89" s="2" t="str">
        <f aca="false">IF(M89&gt;0, ROUND(PMT($F$9,$F$10-E89-2,-U89)+$G$2*$F$12/12, 2), "")</f>
        <v/>
      </c>
      <c r="W89" s="2"/>
      <c r="X89" s="2" t="e">
        <f aca="false">IF(V89 &gt; 0, (G89-V89), 0)</f>
        <v>#VALUE!</v>
      </c>
      <c r="Y89" s="2" t="e">
        <f aca="false">X89*(180-E89)-M89</f>
        <v>#VALUE!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5.75" hidden="false" customHeight="true" outlineLevel="0" collapsed="false">
      <c r="A90" s="45" t="s">
        <v>66</v>
      </c>
      <c r="B90" s="46" t="b">
        <f aca="false">FALSE()</f>
        <v>0</v>
      </c>
      <c r="C90" s="47" t="n">
        <v>48076</v>
      </c>
      <c r="D90" s="48" t="n">
        <f aca="false">C90-C89</f>
        <v>31</v>
      </c>
      <c r="E90" s="49" t="n">
        <v>71</v>
      </c>
      <c r="F90" s="50" t="n">
        <f aca="false">IF(U89&gt;0, U89, 0)</f>
        <v>62542.0597557578</v>
      </c>
      <c r="G90" s="50" t="n">
        <f aca="false">IF(AND(V89&lt;&gt;"", V89&lt;$F$7), V89, G89)</f>
        <v>840.1</v>
      </c>
      <c r="H90" s="50" t="n">
        <f aca="false">IF(F90&gt;$F$7, ($G$2*($F$12/12)), 0)</f>
        <v>43.03125</v>
      </c>
      <c r="I90" s="50" t="n">
        <v>0</v>
      </c>
      <c r="J90" s="51" t="n">
        <f aca="false">IF(G90 = 0, 0, (H90+I90)/G90)</f>
        <v>0.0512215807641947</v>
      </c>
      <c r="K90" s="52" t="n">
        <f aca="false">G90</f>
        <v>840.1</v>
      </c>
      <c r="L90" s="50" t="n">
        <v>0</v>
      </c>
      <c r="M90" s="50" t="n">
        <f aca="false">IF(F90&gt;K90,K90-G90-N90+L90,0)</f>
        <v>0</v>
      </c>
      <c r="N90" s="50" t="n">
        <v>0</v>
      </c>
      <c r="O90" s="50" t="n">
        <f aca="false">(G90-R90-I90-H90)</f>
        <v>381.715508205565</v>
      </c>
      <c r="P90" s="51" t="n">
        <f aca="false">IF(G90 = 0, 0 , (O90/G90))</f>
        <v>0.454369132490852</v>
      </c>
      <c r="Q90" s="50" t="n">
        <f aca="false">SUM(L90:O90)</f>
        <v>381.715508205565</v>
      </c>
      <c r="R90" s="50" t="n">
        <f aca="false">F90*((1+$F$4)^(D90/360)-1)</f>
        <v>415.353241794435</v>
      </c>
      <c r="S90" s="51" t="n">
        <f aca="false">R90/G90</f>
        <v>0.494409286744953</v>
      </c>
      <c r="T90" s="50" t="n">
        <f aca="false">L90+M90+O90+R90+H90+I90</f>
        <v>840.1</v>
      </c>
      <c r="U90" s="50" t="n">
        <f aca="false">F90-O90-M90-L90</f>
        <v>62160.3442475522</v>
      </c>
      <c r="V90" s="2" t="str">
        <f aca="false">IF(M90&gt;0, ROUND(PMT($F$9,$F$10-E90-2,-U90)+$G$2*$F$12/12, 2), "")</f>
        <v/>
      </c>
      <c r="W90" s="2"/>
      <c r="X90" s="2" t="e">
        <f aca="false">IF(V90 &gt; 0, (G90-V90), 0)</f>
        <v>#VALUE!</v>
      </c>
      <c r="Y90" s="2" t="e">
        <f aca="false">X90*(180-E90)-M90</f>
        <v>#VALUE!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5.75" hidden="false" customHeight="true" outlineLevel="0" collapsed="false">
      <c r="A91" s="45" t="s">
        <v>66</v>
      </c>
      <c r="B91" s="46" t="b">
        <f aca="false">FALSE()</f>
        <v>0</v>
      </c>
      <c r="C91" s="47" t="n">
        <v>48107</v>
      </c>
      <c r="D91" s="48" t="n">
        <f aca="false">C91-C90</f>
        <v>31</v>
      </c>
      <c r="E91" s="49" t="n">
        <v>72</v>
      </c>
      <c r="F91" s="50" t="n">
        <f aca="false">IF(U90&gt;0, U90, 0)</f>
        <v>62160.3442475522</v>
      </c>
      <c r="G91" s="50" t="n">
        <f aca="false">IF(AND(V90&lt;&gt;"", V90&lt;$F$7), V90, G90)</f>
        <v>840.1</v>
      </c>
      <c r="H91" s="50" t="n">
        <f aca="false">IF(F91&gt;$F$7, ($G$2*($F$12/12)), 0)</f>
        <v>43.03125</v>
      </c>
      <c r="I91" s="50" t="n">
        <v>0</v>
      </c>
      <c r="J91" s="51" t="n">
        <f aca="false">IF(G91 = 0, 0, (H91+I91)/G91)</f>
        <v>0.0512215807641947</v>
      </c>
      <c r="K91" s="52" t="n">
        <f aca="false">G91</f>
        <v>840.1</v>
      </c>
      <c r="L91" s="50" t="n">
        <v>0</v>
      </c>
      <c r="M91" s="50" t="n">
        <f aca="false">IF(F91&gt;K91,K91-G91-N91+L91,0)</f>
        <v>0</v>
      </c>
      <c r="N91" s="50" t="n">
        <v>0</v>
      </c>
      <c r="O91" s="50" t="n">
        <f aca="false">(G91-R91-I91-H91)</f>
        <v>384.250550613755</v>
      </c>
      <c r="P91" s="51" t="n">
        <f aca="false">IF(G91 = 0, 0 , (O91/G91))</f>
        <v>0.457386680887698</v>
      </c>
      <c r="Q91" s="50" t="n">
        <f aca="false">SUM(L91:O91)</f>
        <v>384.250550613755</v>
      </c>
      <c r="R91" s="50" t="n">
        <f aca="false">F91*((1+$F$4)^(D91/360)-1)</f>
        <v>412.818199386245</v>
      </c>
      <c r="S91" s="51" t="n">
        <f aca="false">R91/G91</f>
        <v>0.491391738348108</v>
      </c>
      <c r="T91" s="50" t="n">
        <f aca="false">L91+M91+O91+R91+H91+I91</f>
        <v>840.1</v>
      </c>
      <c r="U91" s="50" t="n">
        <f aca="false">F91-O91-M91-L91</f>
        <v>61776.0936969385</v>
      </c>
      <c r="V91" s="2" t="str">
        <f aca="false">IF(M91&gt;0, ROUND(PMT($F$9,$F$10-E91-2,-U91)+$G$2*$F$12/12, 2), "")</f>
        <v/>
      </c>
      <c r="W91" s="2"/>
      <c r="X91" s="2" t="e">
        <f aca="false">IF(V91 &gt; 0, (G91-V91), 0)</f>
        <v>#VALUE!</v>
      </c>
      <c r="Y91" s="2" t="e">
        <f aca="false">X91*(180-E91)-M91</f>
        <v>#VALUE!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5.75" hidden="false" customHeight="true" outlineLevel="0" collapsed="false">
      <c r="A92" s="45" t="s">
        <v>66</v>
      </c>
      <c r="B92" s="46" t="b">
        <f aca="false">FALSE()</f>
        <v>0</v>
      </c>
      <c r="C92" s="47" t="n">
        <v>48137</v>
      </c>
      <c r="D92" s="48" t="n">
        <f aca="false">C92-C91</f>
        <v>30</v>
      </c>
      <c r="E92" s="49" t="n">
        <v>73</v>
      </c>
      <c r="F92" s="50" t="n">
        <f aca="false">IF(U91&gt;0, U91, 0)</f>
        <v>61776.0936969385</v>
      </c>
      <c r="G92" s="50" t="n">
        <f aca="false">IF(AND(V91&lt;&gt;"", V91&lt;$F$7), V91, G91)</f>
        <v>840.1</v>
      </c>
      <c r="H92" s="50" t="n">
        <f aca="false">IF(F92&gt;$F$7, ($G$2*($F$12/12)), 0)</f>
        <v>43.03125</v>
      </c>
      <c r="I92" s="50" t="n">
        <v>0</v>
      </c>
      <c r="J92" s="51" t="n">
        <f aca="false">IF(G92 = 0, 0, (H92+I92)/G92)</f>
        <v>0.0512215807641947</v>
      </c>
      <c r="K92" s="52" t="n">
        <f aca="false">G92</f>
        <v>840.1</v>
      </c>
      <c r="L92" s="50" t="n">
        <v>0</v>
      </c>
      <c r="M92" s="50" t="n">
        <f aca="false">IF(F92&gt;K92,K92-G92-N92+L92,0)</f>
        <v>0</v>
      </c>
      <c r="N92" s="50" t="n">
        <v>0</v>
      </c>
      <c r="O92" s="50" t="n">
        <f aca="false">(G92-R92-I92-H92)</f>
        <v>400.079257717782</v>
      </c>
      <c r="P92" s="51" t="n">
        <f aca="false">IF(G92 = 0, 0 , (O92/G92))</f>
        <v>0.476228136790598</v>
      </c>
      <c r="Q92" s="50" t="n">
        <f aca="false">SUM(L92:O92)</f>
        <v>400.079257717782</v>
      </c>
      <c r="R92" s="50" t="n">
        <f aca="false">F92*((1+$F$4)^(D92/360)-1)</f>
        <v>396.989492282218</v>
      </c>
      <c r="S92" s="51" t="n">
        <f aca="false">R92/G92</f>
        <v>0.472550282445207</v>
      </c>
      <c r="T92" s="50" t="n">
        <f aca="false">L92+M92+O92+R92+H92+I92</f>
        <v>840.1</v>
      </c>
      <c r="U92" s="50" t="n">
        <f aca="false">F92-O92-M92-L92</f>
        <v>61376.0144392207</v>
      </c>
      <c r="V92" s="2" t="str">
        <f aca="false">IF(M92&gt;0, ROUND(PMT($F$9,$F$10-E92-2,-U92)+$G$2*$F$12/12, 2), "")</f>
        <v/>
      </c>
      <c r="W92" s="2"/>
      <c r="X92" s="2" t="e">
        <f aca="false">IF(V92 &gt; 0, (G92-V92), 0)</f>
        <v>#VALUE!</v>
      </c>
      <c r="Y92" s="2" t="e">
        <f aca="false">X92*(180-E92)-M92</f>
        <v>#VALUE!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5.75" hidden="false" customHeight="true" outlineLevel="0" collapsed="false">
      <c r="A93" s="45" t="s">
        <v>66</v>
      </c>
      <c r="B93" s="46" t="b">
        <f aca="false">FALSE()</f>
        <v>0</v>
      </c>
      <c r="C93" s="47" t="n">
        <v>48168</v>
      </c>
      <c r="D93" s="48" t="n">
        <f aca="false">C93-C92</f>
        <v>31</v>
      </c>
      <c r="E93" s="49" t="n">
        <v>74</v>
      </c>
      <c r="F93" s="50" t="n">
        <f aca="false">IF(U92&gt;0, U92, 0)</f>
        <v>61376.0144392207</v>
      </c>
      <c r="G93" s="50" t="n">
        <f aca="false">IF(AND(V92&lt;&gt;"", V92&lt;$F$7), V92, G92)</f>
        <v>840.1</v>
      </c>
      <c r="H93" s="50" t="n">
        <f aca="false">IF(F93&gt;$F$7, ($G$2*($F$12/12)), 0)</f>
        <v>43.03125</v>
      </c>
      <c r="I93" s="50" t="n">
        <v>0</v>
      </c>
      <c r="J93" s="51" t="n">
        <f aca="false">IF(G93 = 0, 0, (H93+I93)/G93)</f>
        <v>0.0512215807641947</v>
      </c>
      <c r="K93" s="52" t="n">
        <f aca="false">G93</f>
        <v>840.1</v>
      </c>
      <c r="L93" s="50" t="n">
        <v>0</v>
      </c>
      <c r="M93" s="50" t="n">
        <f aca="false">IF(F93&gt;K93,K93-G93-N93+L93,0)</f>
        <v>0</v>
      </c>
      <c r="N93" s="50" t="n">
        <v>0</v>
      </c>
      <c r="O93" s="50" t="n">
        <f aca="false">(G93-R93-I93-H93)</f>
        <v>389.459428124325</v>
      </c>
      <c r="P93" s="51" t="n">
        <f aca="false">IF(G93 = 0, 0 , (O93/G93))</f>
        <v>0.463586987411409</v>
      </c>
      <c r="Q93" s="50" t="n">
        <f aca="false">SUM(L93:O93)</f>
        <v>389.459428124325</v>
      </c>
      <c r="R93" s="50" t="n">
        <f aca="false">F93*((1+$F$4)^(D93/360)-1)</f>
        <v>407.609321875675</v>
      </c>
      <c r="S93" s="51" t="n">
        <f aca="false">R93/G93</f>
        <v>0.485191431824396</v>
      </c>
      <c r="T93" s="50" t="n">
        <f aca="false">L93+M93+O93+R93+H93+I93</f>
        <v>840.1</v>
      </c>
      <c r="U93" s="50" t="n">
        <f aca="false">F93-O93-M93-L93</f>
        <v>60986.5550110964</v>
      </c>
      <c r="V93" s="2" t="str">
        <f aca="false">IF(M93&gt;0, ROUND(PMT($F$9,$F$10-E93-2,-U93)+$G$2*$F$12/12, 2), "")</f>
        <v/>
      </c>
      <c r="W93" s="2"/>
      <c r="X93" s="2" t="e">
        <f aca="false">IF(V93 &gt; 0, (G93-V93), 0)</f>
        <v>#VALUE!</v>
      </c>
      <c r="Y93" s="2" t="e">
        <f aca="false">X93*(180-E93)-M93</f>
        <v>#VALUE!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customFormat="false" ht="15.75" hidden="false" customHeight="true" outlineLevel="0" collapsed="false">
      <c r="A94" s="45" t="s">
        <v>66</v>
      </c>
      <c r="B94" s="46" t="b">
        <f aca="false">FALSE()</f>
        <v>0</v>
      </c>
      <c r="C94" s="47" t="n">
        <v>48198</v>
      </c>
      <c r="D94" s="48" t="n">
        <f aca="false">C94-C93</f>
        <v>30</v>
      </c>
      <c r="E94" s="49" t="n">
        <v>75</v>
      </c>
      <c r="F94" s="50" t="n">
        <f aca="false">IF(U93&gt;0, U93, 0)</f>
        <v>60986.5550110964</v>
      </c>
      <c r="G94" s="50" t="n">
        <f aca="false">IF(AND(V93&lt;&gt;"", V93&lt;$F$7), V93, G93)</f>
        <v>840.1</v>
      </c>
      <c r="H94" s="50" t="n">
        <f aca="false">IF(F94&gt;$F$7, ($G$2*($F$12/12)), 0)</f>
        <v>43.03125</v>
      </c>
      <c r="I94" s="50" t="n">
        <v>0</v>
      </c>
      <c r="J94" s="51" t="n">
        <f aca="false">IF(G94 = 0, 0, (H94+I94)/G94)</f>
        <v>0.0512215807641947</v>
      </c>
      <c r="K94" s="52" t="n">
        <f aca="false">G94</f>
        <v>840.1</v>
      </c>
      <c r="L94" s="50" t="n">
        <v>0</v>
      </c>
      <c r="M94" s="50" t="n">
        <f aca="false">IF(F94&gt;K94,K94-G94-N94+L94,0)</f>
        <v>0</v>
      </c>
      <c r="N94" s="50" t="n">
        <v>0</v>
      </c>
      <c r="O94" s="50" t="n">
        <f aca="false">(G94-R94-I94-H94)</f>
        <v>405.153041818915</v>
      </c>
      <c r="P94" s="51" t="n">
        <f aca="false">IF(G94 = 0, 0 , (O94/G94))</f>
        <v>0.482267636970497</v>
      </c>
      <c r="Q94" s="50" t="n">
        <f aca="false">SUM(L94:O94)</f>
        <v>405.153041818915</v>
      </c>
      <c r="R94" s="50" t="n">
        <f aca="false">F94*((1+$F$4)^(D94/360)-1)</f>
        <v>391.915708181085</v>
      </c>
      <c r="S94" s="51" t="n">
        <f aca="false">R94/G94</f>
        <v>0.466510782265308</v>
      </c>
      <c r="T94" s="50" t="n">
        <f aca="false">L94+M94+O94+R94+H94+I94</f>
        <v>840.1</v>
      </c>
      <c r="U94" s="50" t="n">
        <f aca="false">F94-O94-M94-L94</f>
        <v>60581.4019692775</v>
      </c>
      <c r="V94" s="2" t="str">
        <f aca="false">IF(M94&gt;0, ROUND(PMT($F$9,$F$10-E94-2,-U94)+$G$2*$F$12/12, 2), "")</f>
        <v/>
      </c>
      <c r="W94" s="2"/>
      <c r="X94" s="2" t="e">
        <f aca="false">IF(V94 &gt; 0, (G94-V94), 0)</f>
        <v>#VALUE!</v>
      </c>
      <c r="Y94" s="2" t="e">
        <f aca="false">X94*(180-E94)-M94</f>
        <v>#VALUE!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5.75" hidden="false" customHeight="true" outlineLevel="0" collapsed="false">
      <c r="A95" s="45" t="s">
        <v>66</v>
      </c>
      <c r="B95" s="46" t="b">
        <f aca="false">FALSE()</f>
        <v>0</v>
      </c>
      <c r="C95" s="47" t="n">
        <v>48229</v>
      </c>
      <c r="D95" s="48" t="n">
        <f aca="false">C95-C94</f>
        <v>31</v>
      </c>
      <c r="E95" s="49" t="n">
        <v>76</v>
      </c>
      <c r="F95" s="50" t="n">
        <f aca="false">IF(U94&gt;0, U94, 0)</f>
        <v>60581.4019692775</v>
      </c>
      <c r="G95" s="50" t="n">
        <f aca="false">IF(AND(V94&lt;&gt;"", V94&lt;$F$7), V94, G94)</f>
        <v>840.1</v>
      </c>
      <c r="H95" s="50" t="n">
        <f aca="false">IF(F95&gt;$F$7, ($G$2*($F$12/12)), 0)</f>
        <v>43.03125</v>
      </c>
      <c r="I95" s="50" t="n">
        <v>0</v>
      </c>
      <c r="J95" s="51" t="n">
        <f aca="false">IF(G95 = 0, 0, (H95+I95)/G95)</f>
        <v>0.0512215807641947</v>
      </c>
      <c r="K95" s="52" t="n">
        <f aca="false">G95</f>
        <v>840.1</v>
      </c>
      <c r="L95" s="50" t="n">
        <v>0</v>
      </c>
      <c r="M95" s="50" t="n">
        <f aca="false">IF(F95&gt;K95,K95-G95-N95+L95,0)</f>
        <v>0</v>
      </c>
      <c r="N95" s="50" t="n">
        <v>0</v>
      </c>
      <c r="O95" s="50" t="n">
        <f aca="false">(G95-R95-I95-H95)</f>
        <v>394.736594668729</v>
      </c>
      <c r="P95" s="51" t="n">
        <f aca="false">IF(G95 = 0, 0 , (O95/G95))</f>
        <v>0.469868580726972</v>
      </c>
      <c r="Q95" s="50" t="n">
        <f aca="false">SUM(L95:O95)</f>
        <v>394.736594668729</v>
      </c>
      <c r="R95" s="50" t="n">
        <f aca="false">F95*((1+$F$4)^(D95/360)-1)</f>
        <v>402.332155331271</v>
      </c>
      <c r="S95" s="51" t="n">
        <f aca="false">R95/G95</f>
        <v>0.478909838508833</v>
      </c>
      <c r="T95" s="50" t="n">
        <f aca="false">L95+M95+O95+R95+H95+I95</f>
        <v>840.1</v>
      </c>
      <c r="U95" s="50" t="n">
        <f aca="false">F95-O95-M95-L95</f>
        <v>60186.6653746087</v>
      </c>
      <c r="V95" s="2" t="str">
        <f aca="false">IF(M95&gt;0, ROUND(PMT($F$9,$F$10-E95-2,-U95)+$G$2*$F$12/12, 2), "")</f>
        <v/>
      </c>
      <c r="W95" s="2"/>
      <c r="X95" s="2" t="e">
        <f aca="false">IF(V95 &gt; 0, (G95-V95), 0)</f>
        <v>#VALUE!</v>
      </c>
      <c r="Y95" s="2" t="e">
        <f aca="false">X95*(180-E95)-M95</f>
        <v>#VALUE!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5.75" hidden="false" customHeight="true" outlineLevel="0" collapsed="false">
      <c r="A96" s="45" t="s">
        <v>66</v>
      </c>
      <c r="B96" s="46" t="b">
        <f aca="false">FALSE()</f>
        <v>0</v>
      </c>
      <c r="C96" s="47" t="n">
        <v>48260</v>
      </c>
      <c r="D96" s="48" t="n">
        <f aca="false">C96-C95</f>
        <v>31</v>
      </c>
      <c r="E96" s="49" t="n">
        <v>77</v>
      </c>
      <c r="F96" s="50" t="n">
        <f aca="false">IF(U95&gt;0, U95, 0)</f>
        <v>60186.6653746087</v>
      </c>
      <c r="G96" s="50" t="n">
        <f aca="false">IF(AND(V95&lt;&gt;"", V95&lt;$F$7), V95, G95)</f>
        <v>840.1</v>
      </c>
      <c r="H96" s="50" t="n">
        <f aca="false">IF(F96&gt;$F$7, ($G$2*($F$12/12)), 0)</f>
        <v>43.03125</v>
      </c>
      <c r="I96" s="50" t="n">
        <v>0</v>
      </c>
      <c r="J96" s="51" t="n">
        <f aca="false">IF(G96 = 0, 0, (H96+I96)/G96)</f>
        <v>0.0512215807641947</v>
      </c>
      <c r="K96" s="52" t="n">
        <f aca="false">G96</f>
        <v>840.1</v>
      </c>
      <c r="L96" s="50" t="n">
        <v>0</v>
      </c>
      <c r="M96" s="50" t="n">
        <f aca="false">IF(F96&gt;K96,K96-G96-N96+L96,0)</f>
        <v>0</v>
      </c>
      <c r="N96" s="50" t="n">
        <v>0</v>
      </c>
      <c r="O96" s="50" t="n">
        <f aca="false">(G96-R96-I96-H96)</f>
        <v>397.358112490349</v>
      </c>
      <c r="P96" s="51" t="n">
        <f aca="false">IF(G96 = 0, 0 , (O96/G96))</f>
        <v>0.472989063790441</v>
      </c>
      <c r="Q96" s="50" t="n">
        <f aca="false">SUM(L96:O96)</f>
        <v>397.358112490349</v>
      </c>
      <c r="R96" s="50" t="n">
        <f aca="false">F96*((1+$F$4)^(D96/360)-1)</f>
        <v>399.710637509651</v>
      </c>
      <c r="S96" s="51" t="n">
        <f aca="false">R96/G96</f>
        <v>0.475789355445365</v>
      </c>
      <c r="T96" s="50" t="n">
        <f aca="false">L96+M96+O96+R96+H96+I96</f>
        <v>840.1</v>
      </c>
      <c r="U96" s="50" t="n">
        <f aca="false">F96-O96-M96-L96</f>
        <v>59789.3072621184</v>
      </c>
      <c r="V96" s="2" t="str">
        <f aca="false">IF(M96&gt;0, ROUND(PMT($F$9,$F$10-E96-2,-U96)+$G$2*$F$12/12, 2), "")</f>
        <v/>
      </c>
      <c r="W96" s="2"/>
      <c r="X96" s="2" t="e">
        <f aca="false">IF(V96 &gt; 0, (G96-V96), 0)</f>
        <v>#VALUE!</v>
      </c>
      <c r="Y96" s="2" t="e">
        <f aca="false">X96*(180-E96)-M96</f>
        <v>#VALUE!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5.75" hidden="false" customHeight="true" outlineLevel="0" collapsed="false">
      <c r="A97" s="45" t="s">
        <v>66</v>
      </c>
      <c r="B97" s="46" t="b">
        <f aca="false">FALSE()</f>
        <v>0</v>
      </c>
      <c r="C97" s="47" t="n">
        <v>48289</v>
      </c>
      <c r="D97" s="48" t="n">
        <f aca="false">C97-C96</f>
        <v>29</v>
      </c>
      <c r="E97" s="49" t="n">
        <v>78</v>
      </c>
      <c r="F97" s="50" t="n">
        <f aca="false">IF(U96&gt;0, U96, 0)</f>
        <v>59789.3072621184</v>
      </c>
      <c r="G97" s="50" t="n">
        <f aca="false">IF(AND(V96&lt;&gt;"", V96&lt;$F$7), V96, G96)</f>
        <v>840.1</v>
      </c>
      <c r="H97" s="50" t="n">
        <f aca="false">IF(F97&gt;$F$7, ($G$2*($F$12/12)), 0)</f>
        <v>43.03125</v>
      </c>
      <c r="I97" s="50" t="n">
        <v>0</v>
      </c>
      <c r="J97" s="51" t="n">
        <f aca="false">IF(G97 = 0, 0, (H97+I97)/G97)</f>
        <v>0.0512215807641947</v>
      </c>
      <c r="K97" s="52" t="n">
        <f aca="false">G97</f>
        <v>840.1</v>
      </c>
      <c r="L97" s="50" t="n">
        <v>0</v>
      </c>
      <c r="M97" s="50" t="n">
        <f aca="false">IF(F97&gt;K97,K97-G97-N97+L97,0)</f>
        <v>0</v>
      </c>
      <c r="N97" s="50" t="n">
        <v>0</v>
      </c>
      <c r="O97" s="50" t="n">
        <f aca="false">(G97-R97-I97-H97)</f>
        <v>425.6939603216</v>
      </c>
      <c r="P97" s="51" t="n">
        <f aca="false">IF(G97 = 0, 0 , (O97/G97))</f>
        <v>0.506718200597072</v>
      </c>
      <c r="Q97" s="50" t="n">
        <f aca="false">SUM(L97:O97)</f>
        <v>425.6939603216</v>
      </c>
      <c r="R97" s="50" t="n">
        <f aca="false">F97*((1+$F$4)^(D97/360)-1)</f>
        <v>371.3747896784</v>
      </c>
      <c r="S97" s="51" t="n">
        <f aca="false">R97/G97</f>
        <v>0.442060218638734</v>
      </c>
      <c r="T97" s="50" t="n">
        <f aca="false">L97+M97+O97+R97+H97+I97</f>
        <v>840.1</v>
      </c>
      <c r="U97" s="50" t="n">
        <f aca="false">F97-O97-M97-L97</f>
        <v>59363.6133017968</v>
      </c>
      <c r="V97" s="2" t="str">
        <f aca="false">IF(M97&gt;0, ROUND(PMT($F$9,$F$10-E97-2,-U97)+$G$2*$F$12/12, 2), "")</f>
        <v/>
      </c>
      <c r="W97" s="2"/>
      <c r="X97" s="2" t="e">
        <f aca="false">IF(V97 &gt; 0, (G97-V97), 0)</f>
        <v>#VALUE!</v>
      </c>
      <c r="Y97" s="2" t="e">
        <f aca="false">X97*(180-E97)-M97</f>
        <v>#VALUE!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5.75" hidden="false" customHeight="true" outlineLevel="0" collapsed="false">
      <c r="A98" s="45" t="s">
        <v>66</v>
      </c>
      <c r="B98" s="46" t="b">
        <f aca="false">FALSE()</f>
        <v>0</v>
      </c>
      <c r="C98" s="47" t="n">
        <v>48320</v>
      </c>
      <c r="D98" s="48" t="n">
        <f aca="false">C98-C97</f>
        <v>31</v>
      </c>
      <c r="E98" s="49" t="n">
        <v>79</v>
      </c>
      <c r="F98" s="50" t="n">
        <f aca="false">IF(U97&gt;0, U97, 0)</f>
        <v>59363.6133017968</v>
      </c>
      <c r="G98" s="50" t="n">
        <f aca="false">IF(AND(V97&lt;&gt;"", V97&lt;$F$7), V97, G97)</f>
        <v>840.1</v>
      </c>
      <c r="H98" s="50" t="n">
        <f aca="false">IF(F98&gt;$F$7, ($G$2*($F$12/12)), 0)</f>
        <v>43.03125</v>
      </c>
      <c r="I98" s="50" t="n">
        <v>0</v>
      </c>
      <c r="J98" s="51" t="n">
        <f aca="false">IF(G98 = 0, 0, (H98+I98)/G98)</f>
        <v>0.0512215807641947</v>
      </c>
      <c r="K98" s="52" t="n">
        <f aca="false">G98</f>
        <v>840.1</v>
      </c>
      <c r="L98" s="50" t="n">
        <v>0</v>
      </c>
      <c r="M98" s="50" t="n">
        <f aca="false">IF(F98&gt;K98,K98-G98-N98+L98,0)</f>
        <v>0</v>
      </c>
      <c r="N98" s="50" t="n">
        <v>0</v>
      </c>
      <c r="O98" s="50" t="n">
        <f aca="false">(G98-R98-I98-H98)</f>
        <v>402.824151631738</v>
      </c>
      <c r="P98" s="51" t="n">
        <f aca="false">IF(G98 = 0, 0 , (O98/G98))</f>
        <v>0.479495478671275</v>
      </c>
      <c r="Q98" s="50" t="n">
        <f aca="false">SUM(L98:O98)</f>
        <v>402.824151631738</v>
      </c>
      <c r="R98" s="50" t="n">
        <f aca="false">F98*((1+$F$4)^(D98/360)-1)</f>
        <v>394.244598368262</v>
      </c>
      <c r="S98" s="51" t="n">
        <f aca="false">R98/G98</f>
        <v>0.46928294056453</v>
      </c>
      <c r="T98" s="50" t="n">
        <f aca="false">L98+M98+O98+R98+H98+I98</f>
        <v>840.1</v>
      </c>
      <c r="U98" s="50" t="n">
        <f aca="false">F98-O98-M98-L98</f>
        <v>58960.789150165</v>
      </c>
      <c r="V98" s="2" t="str">
        <f aca="false">IF(M98&gt;0, ROUND(PMT($F$9,$F$10-E98-2,-U98)+$G$2*$F$12/12, 2), "")</f>
        <v/>
      </c>
      <c r="W98" s="2"/>
      <c r="X98" s="2" t="e">
        <f aca="false">IF(V98 &gt; 0, (G98-V98), 0)</f>
        <v>#VALUE!</v>
      </c>
      <c r="Y98" s="2" t="e">
        <f aca="false">X98*(180-E98)-M98</f>
        <v>#VALUE!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5.75" hidden="false" customHeight="true" outlineLevel="0" collapsed="false">
      <c r="A99" s="45" t="s">
        <v>66</v>
      </c>
      <c r="B99" s="46" t="b">
        <f aca="false">FALSE()</f>
        <v>0</v>
      </c>
      <c r="C99" s="47" t="n">
        <v>48350</v>
      </c>
      <c r="D99" s="48" t="n">
        <f aca="false">C99-C98</f>
        <v>30</v>
      </c>
      <c r="E99" s="49" t="n">
        <v>80</v>
      </c>
      <c r="F99" s="50" t="n">
        <f aca="false">IF(U98&gt;0, U98, 0)</f>
        <v>58960.789150165</v>
      </c>
      <c r="G99" s="50" t="n">
        <f aca="false">IF(AND(V98&lt;&gt;"", V98&lt;$F$7), V98, G98)</f>
        <v>840.1</v>
      </c>
      <c r="H99" s="50" t="n">
        <f aca="false">IF(F99&gt;$F$7, ($G$2*($F$12/12)), 0)</f>
        <v>43.03125</v>
      </c>
      <c r="I99" s="50" t="n">
        <v>0</v>
      </c>
      <c r="J99" s="51" t="n">
        <f aca="false">IF(G99 = 0, 0, (H99+I99)/G99)</f>
        <v>0.0512215807641947</v>
      </c>
      <c r="K99" s="52" t="n">
        <f aca="false">G99</f>
        <v>840.1</v>
      </c>
      <c r="L99" s="50" t="n">
        <v>0</v>
      </c>
      <c r="M99" s="50" t="n">
        <f aca="false">IF(F99&gt;K99,K99-G99-N99+L99,0)</f>
        <v>0</v>
      </c>
      <c r="N99" s="50" t="n">
        <v>0</v>
      </c>
      <c r="O99" s="50" t="n">
        <f aca="false">(G99-R99-I99-H99)</f>
        <v>418.171148217145</v>
      </c>
      <c r="P99" s="51" t="n">
        <f aca="false">IF(G99 = 0, 0 , (O99/G99))</f>
        <v>0.497763537932561</v>
      </c>
      <c r="Q99" s="50" t="n">
        <f aca="false">SUM(L99:O99)</f>
        <v>418.171148217145</v>
      </c>
      <c r="R99" s="50" t="n">
        <f aca="false">F99*((1+$F$4)^(D99/360)-1)</f>
        <v>378.897601782855</v>
      </c>
      <c r="S99" s="51" t="n">
        <f aca="false">R99/G99</f>
        <v>0.451014881303244</v>
      </c>
      <c r="T99" s="50" t="n">
        <f aca="false">L99+M99+O99+R99+H99+I99</f>
        <v>840.1</v>
      </c>
      <c r="U99" s="50" t="n">
        <f aca="false">F99-O99-M99-L99</f>
        <v>58542.6180019479</v>
      </c>
      <c r="V99" s="2" t="str">
        <f aca="false">IF(M99&gt;0, ROUND(PMT($F$9,$F$10-E99-2,-U99)+$G$2*$F$12/12, 2), "")</f>
        <v/>
      </c>
      <c r="W99" s="2"/>
      <c r="X99" s="2" t="e">
        <f aca="false">IF(V99 &gt; 0, (G99-V99), 0)</f>
        <v>#VALUE!</v>
      </c>
      <c r="Y99" s="2" t="e">
        <f aca="false">X99*(180-E99)-M99</f>
        <v>#VALUE!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5.75" hidden="false" customHeight="true" outlineLevel="0" collapsed="false">
      <c r="A100" s="45" t="s">
        <v>66</v>
      </c>
      <c r="B100" s="46" t="b">
        <f aca="false">FALSE()</f>
        <v>0</v>
      </c>
      <c r="C100" s="47" t="n">
        <v>48381</v>
      </c>
      <c r="D100" s="48" t="n">
        <f aca="false">C100-C99</f>
        <v>31</v>
      </c>
      <c r="E100" s="49" t="n">
        <v>81</v>
      </c>
      <c r="F100" s="50" t="n">
        <f aca="false">IF(U99&gt;0, U99, 0)</f>
        <v>58542.6180019479</v>
      </c>
      <c r="G100" s="50" t="n">
        <f aca="false">IF(AND(V99&lt;&gt;"", V99&lt;$F$7), V99, G99)</f>
        <v>840.1</v>
      </c>
      <c r="H100" s="50" t="n">
        <f aca="false">IF(F100&gt;$F$7, ($G$2*($F$12/12)), 0)</f>
        <v>43.03125</v>
      </c>
      <c r="I100" s="50" t="n">
        <v>0</v>
      </c>
      <c r="J100" s="51" t="n">
        <f aca="false">IF(G100 = 0, 0, (H100+I100)/G100)</f>
        <v>0.0512215807641947</v>
      </c>
      <c r="K100" s="52" t="n">
        <f aca="false">G100</f>
        <v>840.1</v>
      </c>
      <c r="L100" s="50" t="n">
        <v>0</v>
      </c>
      <c r="M100" s="50" t="n">
        <f aca="false">IF(F100&gt;K100,K100-G100-N100+L100,0)</f>
        <v>0</v>
      </c>
      <c r="N100" s="50" t="n">
        <v>0</v>
      </c>
      <c r="O100" s="50" t="n">
        <f aca="false">(G100-R100-I100-H100)</f>
        <v>408.276531368222</v>
      </c>
      <c r="P100" s="51" t="n">
        <f aca="false">IF(G100 = 0, 0 , (O100/G100))</f>
        <v>0.48598563429142</v>
      </c>
      <c r="Q100" s="50" t="n">
        <f aca="false">SUM(L100:O100)</f>
        <v>408.276531368222</v>
      </c>
      <c r="R100" s="50" t="n">
        <f aca="false">F100*((1+$F$4)^(D100/360)-1)</f>
        <v>388.792218631778</v>
      </c>
      <c r="S100" s="51" t="n">
        <f aca="false">R100/G100</f>
        <v>0.462792784944385</v>
      </c>
      <c r="T100" s="50" t="n">
        <f aca="false">L100+M100+O100+R100+H100+I100</f>
        <v>840.1</v>
      </c>
      <c r="U100" s="50" t="n">
        <f aca="false">F100-O100-M100-L100</f>
        <v>58134.3414705797</v>
      </c>
      <c r="V100" s="2" t="str">
        <f aca="false">IF(M100&gt;0, ROUND(PMT($F$9,$F$10-E100-2,-U100)+$G$2*$F$12/12, 2), "")</f>
        <v/>
      </c>
      <c r="W100" s="2"/>
      <c r="X100" s="2" t="e">
        <f aca="false">IF(V100 &gt; 0, (G100-V100), 0)</f>
        <v>#VALUE!</v>
      </c>
      <c r="Y100" s="2" t="e">
        <f aca="false">X100*(180-E100)-M100</f>
        <v>#VALUE!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5.75" hidden="false" customHeight="true" outlineLevel="0" collapsed="false">
      <c r="A101" s="45" t="s">
        <v>66</v>
      </c>
      <c r="B101" s="46" t="b">
        <f aca="false">FALSE()</f>
        <v>0</v>
      </c>
      <c r="C101" s="47" t="n">
        <v>48411</v>
      </c>
      <c r="D101" s="48" t="n">
        <f aca="false">C101-C100</f>
        <v>30</v>
      </c>
      <c r="E101" s="49" t="n">
        <v>82</v>
      </c>
      <c r="F101" s="50" t="n">
        <f aca="false">IF(U100&gt;0, U100, 0)</f>
        <v>58134.3414705797</v>
      </c>
      <c r="G101" s="50" t="n">
        <f aca="false">IF(AND(V100&lt;&gt;"", V100&lt;$F$7), V100, G100)</f>
        <v>840.1</v>
      </c>
      <c r="H101" s="50" t="n">
        <f aca="false">IF(F101&gt;$F$7, ($G$2*($F$12/12)), 0)</f>
        <v>43.03125</v>
      </c>
      <c r="I101" s="50" t="n">
        <v>0</v>
      </c>
      <c r="J101" s="51" t="n">
        <f aca="false">IF(G101 = 0, 0, (H101+I101)/G101)</f>
        <v>0.0512215807641947</v>
      </c>
      <c r="K101" s="52" t="n">
        <f aca="false">G101</f>
        <v>840.1</v>
      </c>
      <c r="L101" s="50" t="n">
        <v>0</v>
      </c>
      <c r="M101" s="50" t="n">
        <f aca="false">IF(F101&gt;K101,K101-G101-N101+L101,0)</f>
        <v>0</v>
      </c>
      <c r="N101" s="50" t="n">
        <v>0</v>
      </c>
      <c r="O101" s="50" t="n">
        <f aca="false">(G101-R101-I101-H101)</f>
        <v>423.482119259211</v>
      </c>
      <c r="P101" s="51" t="n">
        <f aca="false">IF(G101 = 0, 0 , (O101/G101))</f>
        <v>0.504085369907405</v>
      </c>
      <c r="Q101" s="50" t="n">
        <f aca="false">SUM(L101:O101)</f>
        <v>423.482119259211</v>
      </c>
      <c r="R101" s="50" t="n">
        <f aca="false">F101*((1+$F$4)^(D101/360)-1)</f>
        <v>373.586630740789</v>
      </c>
      <c r="S101" s="51" t="n">
        <f aca="false">R101/G101</f>
        <v>0.4446930493284</v>
      </c>
      <c r="T101" s="50" t="n">
        <f aca="false">L101+M101+O101+R101+H101+I101</f>
        <v>840.1</v>
      </c>
      <c r="U101" s="50" t="n">
        <f aca="false">F101-O101-M101-L101</f>
        <v>57710.8593513205</v>
      </c>
      <c r="V101" s="2" t="str">
        <f aca="false">IF(M101&gt;0, ROUND(PMT($F$9,$F$10-E101-2,-U101)+$G$2*$F$12/12, 2), "")</f>
        <v/>
      </c>
      <c r="W101" s="2"/>
      <c r="X101" s="2" t="e">
        <f aca="false">IF(V101 &gt; 0, (G101-V101), 0)</f>
        <v>#VALUE!</v>
      </c>
      <c r="Y101" s="2" t="e">
        <f aca="false">X101*(180-E101)-M101</f>
        <v>#VALUE!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5.75" hidden="false" customHeight="true" outlineLevel="0" collapsed="false">
      <c r="A102" s="45" t="s">
        <v>66</v>
      </c>
      <c r="B102" s="46" t="b">
        <f aca="false">FALSE()</f>
        <v>0</v>
      </c>
      <c r="C102" s="47" t="n">
        <v>48442</v>
      </c>
      <c r="D102" s="48" t="n">
        <f aca="false">C102-C101</f>
        <v>31</v>
      </c>
      <c r="E102" s="49" t="n">
        <v>83</v>
      </c>
      <c r="F102" s="50" t="n">
        <f aca="false">IF(U101&gt;0, U101, 0)</f>
        <v>57710.8593513205</v>
      </c>
      <c r="G102" s="50" t="n">
        <f aca="false">IF(AND(V101&lt;&gt;"", V101&lt;$F$7), V101, G101)</f>
        <v>840.1</v>
      </c>
      <c r="H102" s="50" t="n">
        <f aca="false">IF(F102&gt;$F$7, ($G$2*($F$12/12)), 0)</f>
        <v>43.03125</v>
      </c>
      <c r="I102" s="50" t="n">
        <v>0</v>
      </c>
      <c r="J102" s="51" t="n">
        <f aca="false">IF(G102 = 0, 0, (H102+I102)/G102)</f>
        <v>0.0512215807641947</v>
      </c>
      <c r="K102" s="52" t="n">
        <f aca="false">G102</f>
        <v>840.1</v>
      </c>
      <c r="L102" s="50" t="n">
        <v>0</v>
      </c>
      <c r="M102" s="50" t="n">
        <f aca="false">IF(F102&gt;K102,K102-G102-N102+L102,0)</f>
        <v>0</v>
      </c>
      <c r="N102" s="50" t="n">
        <v>0</v>
      </c>
      <c r="O102" s="50" t="n">
        <f aca="false">(G102-R102-I102-H102)</f>
        <v>413.800392483091</v>
      </c>
      <c r="P102" s="51" t="n">
        <f aca="false">IF(G102 = 0, 0 , (O102/G102))</f>
        <v>0.49256087666122</v>
      </c>
      <c r="Q102" s="50" t="n">
        <f aca="false">SUM(L102:O102)</f>
        <v>413.800392483091</v>
      </c>
      <c r="R102" s="50" t="n">
        <f aca="false">F102*((1+$F$4)^(D102/360)-1)</f>
        <v>383.268357516909</v>
      </c>
      <c r="S102" s="51" t="n">
        <f aca="false">R102/G102</f>
        <v>0.456217542574585</v>
      </c>
      <c r="T102" s="50" t="n">
        <f aca="false">L102+M102+O102+R102+H102+I102</f>
        <v>840.1</v>
      </c>
      <c r="U102" s="50" t="n">
        <f aca="false">F102-O102-M102-L102</f>
        <v>57297.0589588374</v>
      </c>
      <c r="V102" s="2" t="str">
        <f aca="false">IF(M102&gt;0, ROUND(PMT($F$9,$F$10-E102-2,-U102)+$G$2*$F$12/12, 2), "")</f>
        <v/>
      </c>
      <c r="W102" s="2"/>
      <c r="X102" s="2" t="e">
        <f aca="false">IF(V102 &gt; 0, (G102-V102), 0)</f>
        <v>#VALUE!</v>
      </c>
      <c r="Y102" s="2" t="e">
        <f aca="false">X102*(180-E102)-M102</f>
        <v>#VALUE!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5.75" hidden="false" customHeight="true" outlineLevel="0" collapsed="false">
      <c r="A103" s="45" t="s">
        <v>66</v>
      </c>
      <c r="B103" s="46" t="b">
        <f aca="false">FALSE()</f>
        <v>0</v>
      </c>
      <c r="C103" s="47" t="n">
        <v>48473</v>
      </c>
      <c r="D103" s="48" t="n">
        <f aca="false">C103-C102</f>
        <v>31</v>
      </c>
      <c r="E103" s="49" t="n">
        <v>84</v>
      </c>
      <c r="F103" s="50" t="n">
        <f aca="false">IF(U102&gt;0, U102, 0)</f>
        <v>57297.0589588374</v>
      </c>
      <c r="G103" s="50" t="n">
        <f aca="false">IF(AND(V102&lt;&gt;"", V102&lt;$F$7), V102, G102)</f>
        <v>840.1</v>
      </c>
      <c r="H103" s="50" t="n">
        <f aca="false">IF(F103&gt;$F$7, ($G$2*($F$12/12)), 0)</f>
        <v>43.03125</v>
      </c>
      <c r="I103" s="50" t="n">
        <v>0</v>
      </c>
      <c r="J103" s="51" t="n">
        <f aca="false">IF(G103 = 0, 0, (H103+I103)/G103)</f>
        <v>0.0512215807641947</v>
      </c>
      <c r="K103" s="52" t="n">
        <f aca="false">G103</f>
        <v>840.1</v>
      </c>
      <c r="L103" s="50" t="n">
        <v>0</v>
      </c>
      <c r="M103" s="50" t="n">
        <f aca="false">IF(F103&gt;K103,K103-G103-N103+L103,0)</f>
        <v>0</v>
      </c>
      <c r="N103" s="50" t="n">
        <v>0</v>
      </c>
      <c r="O103" s="50" t="n">
        <f aca="false">(G103-R103-I103-H103)</f>
        <v>416.548516467892</v>
      </c>
      <c r="P103" s="51" t="n">
        <f aca="false">IF(G103 = 0, 0 , (O103/G103))</f>
        <v>0.495832063406609</v>
      </c>
      <c r="Q103" s="50" t="n">
        <f aca="false">SUM(L103:O103)</f>
        <v>416.548516467892</v>
      </c>
      <c r="R103" s="50" t="n">
        <f aca="false">F103*((1+$F$4)^(D103/360)-1)</f>
        <v>380.520233532108</v>
      </c>
      <c r="S103" s="51" t="n">
        <f aca="false">R103/G103</f>
        <v>0.452946355829196</v>
      </c>
      <c r="T103" s="50" t="n">
        <f aca="false">L103+M103+O103+R103+H103+I103</f>
        <v>840.1</v>
      </c>
      <c r="U103" s="50" t="n">
        <f aca="false">F103-O103-M103-L103</f>
        <v>56880.5104423695</v>
      </c>
      <c r="V103" s="2" t="str">
        <f aca="false">IF(M103&gt;0, ROUND(PMT($F$9,$F$10-E103-2,-U103)+$G$2*$F$12/12, 2), "")</f>
        <v/>
      </c>
      <c r="W103" s="2"/>
      <c r="X103" s="2" t="e">
        <f aca="false">IF(V103 &gt; 0, (G103-V103), 0)</f>
        <v>#VALUE!</v>
      </c>
      <c r="Y103" s="2" t="e">
        <f aca="false">X103*(180-E103)-M103</f>
        <v>#VALUE!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5.75" hidden="false" customHeight="true" outlineLevel="0" collapsed="false">
      <c r="A104" s="45" t="s">
        <v>66</v>
      </c>
      <c r="B104" s="46" t="b">
        <f aca="false">FALSE()</f>
        <v>0</v>
      </c>
      <c r="C104" s="47" t="n">
        <v>48503</v>
      </c>
      <c r="D104" s="48" t="n">
        <f aca="false">C104-C103</f>
        <v>30</v>
      </c>
      <c r="E104" s="49" t="n">
        <v>85</v>
      </c>
      <c r="F104" s="50" t="n">
        <f aca="false">IF(U103&gt;0, U103, 0)</f>
        <v>56880.5104423695</v>
      </c>
      <c r="G104" s="50" t="n">
        <f aca="false">IF(AND(V103&lt;&gt;"", V103&lt;$F$7), V103, G103)</f>
        <v>840.1</v>
      </c>
      <c r="H104" s="50" t="n">
        <f aca="false">IF(F104&gt;$F$7, ($G$2*($F$12/12)), 0)</f>
        <v>43.03125</v>
      </c>
      <c r="I104" s="50" t="n">
        <v>0</v>
      </c>
      <c r="J104" s="51" t="n">
        <f aca="false">IF(G104 = 0, 0, (H104+I104)/G104)</f>
        <v>0.0512215807641947</v>
      </c>
      <c r="K104" s="52" t="n">
        <f aca="false">G104</f>
        <v>840.1</v>
      </c>
      <c r="L104" s="50" t="n">
        <v>0</v>
      </c>
      <c r="M104" s="50" t="n">
        <f aca="false">IF(F104&gt;K104,K104-G104-N104+L104,0)</f>
        <v>0</v>
      </c>
      <c r="N104" s="50" t="n">
        <v>0</v>
      </c>
      <c r="O104" s="50" t="n">
        <f aca="false">(G104-R104-I104-H104)</f>
        <v>431.53956856539</v>
      </c>
      <c r="P104" s="51" t="n">
        <f aca="false">IF(G104 = 0, 0 , (O104/G104))</f>
        <v>0.513676429669552</v>
      </c>
      <c r="Q104" s="50" t="n">
        <f aca="false">SUM(L104:O104)</f>
        <v>431.53956856539</v>
      </c>
      <c r="R104" s="50" t="n">
        <f aca="false">F104*((1+$F$4)^(D104/360)-1)</f>
        <v>365.52918143461</v>
      </c>
      <c r="S104" s="51" t="n">
        <f aca="false">R104/G104</f>
        <v>0.435101989566254</v>
      </c>
      <c r="T104" s="50" t="n">
        <f aca="false">L104+M104+O104+R104+H104+I104</f>
        <v>840.1</v>
      </c>
      <c r="U104" s="50" t="n">
        <f aca="false">F104-O104-M104-L104</f>
        <v>56448.9708738041</v>
      </c>
      <c r="V104" s="2" t="str">
        <f aca="false">IF(M104&gt;0, ROUND(PMT($F$9,$F$10-E104-2,-U104)+$G$2*$F$12/12, 2), "")</f>
        <v/>
      </c>
      <c r="W104" s="2"/>
      <c r="X104" s="2" t="e">
        <f aca="false">IF(V104 &gt; 0, (G104-V104), 0)</f>
        <v>#VALUE!</v>
      </c>
      <c r="Y104" s="2" t="e">
        <f aca="false">X104*(180-E104)-M104</f>
        <v>#VALUE!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5.75" hidden="false" customHeight="true" outlineLevel="0" collapsed="false">
      <c r="A105" s="45" t="s">
        <v>66</v>
      </c>
      <c r="B105" s="46" t="b">
        <f aca="false">FALSE()</f>
        <v>0</v>
      </c>
      <c r="C105" s="47" t="n">
        <v>48534</v>
      </c>
      <c r="D105" s="48" t="n">
        <f aca="false">C105-C104</f>
        <v>31</v>
      </c>
      <c r="E105" s="49" t="n">
        <v>86</v>
      </c>
      <c r="F105" s="50" t="n">
        <f aca="false">IF(U104&gt;0, U104, 0)</f>
        <v>56448.9708738041</v>
      </c>
      <c r="G105" s="50" t="n">
        <f aca="false">IF(AND(V104&lt;&gt;"", V104&lt;$F$7), V104, G104)</f>
        <v>840.1</v>
      </c>
      <c r="H105" s="50" t="n">
        <f aca="false">IF(F105&gt;$F$7, ($G$2*($F$12/12)), 0)</f>
        <v>43.03125</v>
      </c>
      <c r="I105" s="50" t="n">
        <v>0</v>
      </c>
      <c r="J105" s="51" t="n">
        <f aca="false">IF(G105 = 0, 0, (H105+I105)/G105)</f>
        <v>0.0512215807641947</v>
      </c>
      <c r="K105" s="52" t="n">
        <f aca="false">G105</f>
        <v>840.1</v>
      </c>
      <c r="L105" s="50" t="n">
        <v>0</v>
      </c>
      <c r="M105" s="50" t="n">
        <f aca="false">IF(F105&gt;K105,K105-G105-N105+L105,0)</f>
        <v>0</v>
      </c>
      <c r="N105" s="50" t="n">
        <v>0</v>
      </c>
      <c r="O105" s="50" t="n">
        <f aca="false">(G105-R105-I105-H105)</f>
        <v>422.180824339131</v>
      </c>
      <c r="P105" s="51" t="n">
        <f aca="false">IF(G105 = 0, 0 , (O105/G105))</f>
        <v>0.502536393690192</v>
      </c>
      <c r="Q105" s="50" t="n">
        <f aca="false">SUM(L105:O105)</f>
        <v>422.180824339131</v>
      </c>
      <c r="R105" s="50" t="n">
        <f aca="false">F105*((1+$F$4)^(D105/360)-1)</f>
        <v>374.887925660869</v>
      </c>
      <c r="S105" s="51" t="n">
        <f aca="false">R105/G105</f>
        <v>0.446242025545613</v>
      </c>
      <c r="T105" s="50" t="n">
        <f aca="false">L105+M105+O105+R105+H105+I105</f>
        <v>840.1</v>
      </c>
      <c r="U105" s="50" t="n">
        <f aca="false">F105-O105-M105-L105</f>
        <v>56026.790049465</v>
      </c>
      <c r="V105" s="2" t="str">
        <f aca="false">IF(M105&gt;0, ROUND(PMT($F$9,$F$10-E105-2,-U105)+$G$2*$F$12/12, 2), "")</f>
        <v/>
      </c>
      <c r="W105" s="2"/>
      <c r="X105" s="2" t="e">
        <f aca="false">IF(V105 &gt; 0, (G105-V105), 0)</f>
        <v>#VALUE!</v>
      </c>
      <c r="Y105" s="2" t="e">
        <f aca="false">X105*(180-E105)-M105</f>
        <v>#VALUE!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5.75" hidden="false" customHeight="true" outlineLevel="0" collapsed="false">
      <c r="A106" s="45" t="s">
        <v>66</v>
      </c>
      <c r="B106" s="46" t="b">
        <f aca="false">FALSE()</f>
        <v>0</v>
      </c>
      <c r="C106" s="47" t="n">
        <v>48564</v>
      </c>
      <c r="D106" s="48" t="n">
        <f aca="false">C106-C105</f>
        <v>30</v>
      </c>
      <c r="E106" s="49" t="n">
        <v>87</v>
      </c>
      <c r="F106" s="50" t="n">
        <f aca="false">IF(U105&gt;0, U105, 0)</f>
        <v>56026.790049465</v>
      </c>
      <c r="G106" s="50" t="n">
        <f aca="false">IF(AND(V105&lt;&gt;"", V105&lt;$F$7), V105, G105)</f>
        <v>840.1</v>
      </c>
      <c r="H106" s="50" t="n">
        <f aca="false">IF(F106&gt;$F$7, ($G$2*($F$12/12)), 0)</f>
        <v>43.03125</v>
      </c>
      <c r="I106" s="50" t="n">
        <v>0</v>
      </c>
      <c r="J106" s="51" t="n">
        <f aca="false">IF(G106 = 0, 0, (H106+I106)/G106)</f>
        <v>0.0512215807641947</v>
      </c>
      <c r="K106" s="52" t="n">
        <f aca="false">G106</f>
        <v>840.1</v>
      </c>
      <c r="L106" s="50" t="n">
        <v>0</v>
      </c>
      <c r="M106" s="50" t="n">
        <f aca="false">IF(F106&gt;K106,K106-G106-N106+L106,0)</f>
        <v>0</v>
      </c>
      <c r="N106" s="50" t="n">
        <v>0</v>
      </c>
      <c r="O106" s="50" t="n">
        <f aca="false">(G106-R106-I106-H106)</f>
        <v>437.02580126558</v>
      </c>
      <c r="P106" s="51" t="n">
        <f aca="false">IF(G106 = 0, 0 , (O106/G106))</f>
        <v>0.520206881639781</v>
      </c>
      <c r="Q106" s="50" t="n">
        <f aca="false">SUM(L106:O106)</f>
        <v>437.02580126558</v>
      </c>
      <c r="R106" s="50" t="n">
        <f aca="false">F106*((1+$F$4)^(D106/360)-1)</f>
        <v>360.04294873442</v>
      </c>
      <c r="S106" s="51" t="n">
        <f aca="false">R106/G106</f>
        <v>0.428571537596024</v>
      </c>
      <c r="T106" s="50" t="n">
        <f aca="false">L106+M106+O106+R106+H106+I106</f>
        <v>840.1</v>
      </c>
      <c r="U106" s="50" t="n">
        <f aca="false">F106-O106-M106-L106</f>
        <v>55589.7642481994</v>
      </c>
      <c r="V106" s="2" t="str">
        <f aca="false">IF(M106&gt;0, ROUND(PMT($F$9,$F$10-E106-2,-U106)+$G$2*$F$12/12, 2), "")</f>
        <v/>
      </c>
      <c r="W106" s="2"/>
      <c r="X106" s="2" t="e">
        <f aca="false">IF(V106 &gt; 0, (G106-V106), 0)</f>
        <v>#VALUE!</v>
      </c>
      <c r="Y106" s="2" t="e">
        <f aca="false">X106*(180-E106)-M106</f>
        <v>#VALUE!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5.75" hidden="false" customHeight="true" outlineLevel="0" collapsed="false">
      <c r="A107" s="45" t="s">
        <v>66</v>
      </c>
      <c r="B107" s="46" t="b">
        <f aca="false">FALSE()</f>
        <v>0</v>
      </c>
      <c r="C107" s="47" t="n">
        <v>48595</v>
      </c>
      <c r="D107" s="48" t="n">
        <f aca="false">C107-C106</f>
        <v>31</v>
      </c>
      <c r="E107" s="49" t="n">
        <v>88</v>
      </c>
      <c r="F107" s="50" t="n">
        <f aca="false">IF(U106&gt;0, U106, 0)</f>
        <v>55589.7642481994</v>
      </c>
      <c r="G107" s="50" t="n">
        <f aca="false">IF(AND(V106&lt;&gt;"", V106&lt;$F$7), V106, G106)</f>
        <v>840.1</v>
      </c>
      <c r="H107" s="50" t="n">
        <f aca="false">IF(F107&gt;$F$7, ($G$2*($F$12/12)), 0)</f>
        <v>43.03125</v>
      </c>
      <c r="I107" s="50" t="n">
        <v>0</v>
      </c>
      <c r="J107" s="51" t="n">
        <f aca="false">IF(G107 = 0, 0, (H107+I107)/G107)</f>
        <v>0.0512215807641947</v>
      </c>
      <c r="K107" s="52" t="n">
        <f aca="false">G107</f>
        <v>840.1</v>
      </c>
      <c r="L107" s="50" t="n">
        <v>0</v>
      </c>
      <c r="M107" s="50" t="n">
        <f aca="false">IF(F107&gt;K107,K107-G107-N107+L107,0)</f>
        <v>0</v>
      </c>
      <c r="N107" s="50" t="n">
        <v>0</v>
      </c>
      <c r="O107" s="50" t="n">
        <f aca="false">(G107-R107-I107-H107)</f>
        <v>427.886972469043</v>
      </c>
      <c r="P107" s="51" t="n">
        <f aca="false">IF(G107 = 0, 0 , (O107/G107))</f>
        <v>0.509328618579982</v>
      </c>
      <c r="Q107" s="50" t="n">
        <f aca="false">SUM(L107:O107)</f>
        <v>427.886972469043</v>
      </c>
      <c r="R107" s="50" t="n">
        <f aca="false">F107*((1+$F$4)^(D107/360)-1)</f>
        <v>369.181777530957</v>
      </c>
      <c r="S107" s="51" t="n">
        <f aca="false">R107/G107</f>
        <v>0.439449800655823</v>
      </c>
      <c r="T107" s="50" t="n">
        <f aca="false">L107+M107+O107+R107+H107+I107</f>
        <v>840.1</v>
      </c>
      <c r="U107" s="50" t="n">
        <f aca="false">F107-O107-M107-L107</f>
        <v>55161.8772757303</v>
      </c>
      <c r="V107" s="2" t="str">
        <f aca="false">IF(M107&gt;0, ROUND(PMT($F$9,$F$10-E107-2,-U107)+$G$2*$F$12/12, 2), "")</f>
        <v/>
      </c>
      <c r="W107" s="2"/>
      <c r="X107" s="2" t="e">
        <f aca="false">IF(V107 &gt; 0, (G107-V107), 0)</f>
        <v>#VALUE!</v>
      </c>
      <c r="Y107" s="2" t="e">
        <f aca="false">X107*(180-E107)-M107</f>
        <v>#VALUE!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5.75" hidden="false" customHeight="true" outlineLevel="0" collapsed="false">
      <c r="A108" s="45" t="s">
        <v>66</v>
      </c>
      <c r="B108" s="46" t="b">
        <f aca="false">FALSE()</f>
        <v>0</v>
      </c>
      <c r="C108" s="47" t="n">
        <v>48626</v>
      </c>
      <c r="D108" s="48" t="n">
        <f aca="false">C108-C107</f>
        <v>31</v>
      </c>
      <c r="E108" s="49" t="n">
        <v>89</v>
      </c>
      <c r="F108" s="50" t="n">
        <f aca="false">IF(U107&gt;0, U107, 0)</f>
        <v>55161.8772757303</v>
      </c>
      <c r="G108" s="50" t="n">
        <f aca="false">IF(AND(V107&lt;&gt;"", V107&lt;$F$7), V107, G107)</f>
        <v>840.1</v>
      </c>
      <c r="H108" s="50" t="n">
        <f aca="false">IF(F108&gt;$F$7, ($G$2*($F$12/12)), 0)</f>
        <v>43.03125</v>
      </c>
      <c r="I108" s="50" t="n">
        <v>0</v>
      </c>
      <c r="J108" s="51" t="n">
        <f aca="false">IF(G108 = 0, 0, (H108+I108)/G108)</f>
        <v>0.0512215807641947</v>
      </c>
      <c r="K108" s="52" t="n">
        <f aca="false">G108</f>
        <v>840.1</v>
      </c>
      <c r="L108" s="50" t="n">
        <v>0</v>
      </c>
      <c r="M108" s="50" t="n">
        <f aca="false">IF(F108&gt;K108,K108-G108-N108+L108,0)</f>
        <v>0</v>
      </c>
      <c r="N108" s="50" t="n">
        <v>0</v>
      </c>
      <c r="O108" s="50" t="n">
        <f aca="false">(G108-R108-I108-H108)</f>
        <v>430.728648004366</v>
      </c>
      <c r="P108" s="51" t="n">
        <f aca="false">IF(G108 = 0, 0 , (O108/G108))</f>
        <v>0.512711162961987</v>
      </c>
      <c r="Q108" s="50" t="n">
        <f aca="false">SUM(L108:O108)</f>
        <v>430.728648004366</v>
      </c>
      <c r="R108" s="50" t="n">
        <f aca="false">F108*((1+$F$4)^(D108/360)-1)</f>
        <v>366.340101995635</v>
      </c>
      <c r="S108" s="51" t="n">
        <f aca="false">R108/G108</f>
        <v>0.436067256273818</v>
      </c>
      <c r="T108" s="50" t="n">
        <f aca="false">L108+M108+O108+R108+H108+I108</f>
        <v>840.1</v>
      </c>
      <c r="U108" s="50" t="n">
        <f aca="false">F108-O108-M108-L108</f>
        <v>54731.148627726</v>
      </c>
      <c r="V108" s="2" t="str">
        <f aca="false">IF(M108&gt;0, ROUND(PMT($F$9,$F$10-E108-2,-U108)+$G$2*$F$12/12, 2), "")</f>
        <v/>
      </c>
      <c r="W108" s="2"/>
      <c r="X108" s="2" t="e">
        <f aca="false">IF(V108 &gt; 0, (G108-V108), 0)</f>
        <v>#VALUE!</v>
      </c>
      <c r="Y108" s="2" t="e">
        <f aca="false">X108*(180-E108)-M108</f>
        <v>#VALUE!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5.75" hidden="false" customHeight="true" outlineLevel="0" collapsed="false">
      <c r="A109" s="45" t="s">
        <v>66</v>
      </c>
      <c r="B109" s="46" t="b">
        <f aca="false">FALSE()</f>
        <v>0</v>
      </c>
      <c r="C109" s="47" t="n">
        <v>48654</v>
      </c>
      <c r="D109" s="48" t="n">
        <f aca="false">C109-C108</f>
        <v>28</v>
      </c>
      <c r="E109" s="49" t="n">
        <v>90</v>
      </c>
      <c r="F109" s="50" t="n">
        <f aca="false">IF(U108&gt;0, U108, 0)</f>
        <v>54731.148627726</v>
      </c>
      <c r="G109" s="50" t="n">
        <f aca="false">IF(AND(V108&lt;&gt;"", V108&lt;$F$7), V108, G108)</f>
        <v>840.1</v>
      </c>
      <c r="H109" s="50" t="n">
        <f aca="false">IF(F109&gt;$F$7, ($G$2*($F$12/12)), 0)</f>
        <v>43.03125</v>
      </c>
      <c r="I109" s="50" t="n">
        <v>0</v>
      </c>
      <c r="J109" s="51" t="n">
        <f aca="false">IF(G109 = 0, 0, (H109+I109)/G109)</f>
        <v>0.0512215807641947</v>
      </c>
      <c r="K109" s="52" t="n">
        <f aca="false">G109</f>
        <v>840.1</v>
      </c>
      <c r="L109" s="50" t="n">
        <v>0</v>
      </c>
      <c r="M109" s="50" t="n">
        <f aca="false">IF(F109&gt;K109,K109-G109-N109+L109,0)</f>
        <v>0</v>
      </c>
      <c r="N109" s="50" t="n">
        <v>0</v>
      </c>
      <c r="O109" s="50" t="n">
        <f aca="false">(G109-R109-I109-H109)</f>
        <v>468.869880832551</v>
      </c>
      <c r="P109" s="51" t="n">
        <f aca="false">IF(G109 = 0, 0 , (O109/G109))</f>
        <v>0.558111987659268</v>
      </c>
      <c r="Q109" s="50" t="n">
        <f aca="false">SUM(L109:O109)</f>
        <v>468.869880832551</v>
      </c>
      <c r="R109" s="50" t="n">
        <f aca="false">F109*((1+$F$4)^(D109/360)-1)</f>
        <v>328.198869167449</v>
      </c>
      <c r="S109" s="51" t="n">
        <f aca="false">R109/G109</f>
        <v>0.390666431576538</v>
      </c>
      <c r="T109" s="50" t="n">
        <f aca="false">L109+M109+O109+R109+H109+I109</f>
        <v>840.1</v>
      </c>
      <c r="U109" s="50" t="n">
        <f aca="false">F109-O109-M109-L109</f>
        <v>54262.2787468934</v>
      </c>
      <c r="V109" s="2" t="str">
        <f aca="false">IF(M109&gt;0, ROUND(PMT($F$9,$F$10-E109-2,-U109)+$G$2*$F$12/12, 2), "")</f>
        <v/>
      </c>
      <c r="W109" s="2"/>
      <c r="X109" s="2" t="e">
        <f aca="false">IF(V109 &gt; 0, (G109-V109), 0)</f>
        <v>#VALUE!</v>
      </c>
      <c r="Y109" s="2" t="e">
        <f aca="false">X109*(180-E109)-M109</f>
        <v>#VALUE!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5.75" hidden="false" customHeight="true" outlineLevel="0" collapsed="false">
      <c r="A110" s="45" t="s">
        <v>66</v>
      </c>
      <c r="B110" s="46" t="b">
        <f aca="false">FALSE()</f>
        <v>0</v>
      </c>
      <c r="C110" s="47" t="n">
        <v>48685</v>
      </c>
      <c r="D110" s="48" t="n">
        <f aca="false">C110-C109</f>
        <v>31</v>
      </c>
      <c r="E110" s="49" t="n">
        <v>91</v>
      </c>
      <c r="F110" s="50" t="n">
        <f aca="false">IF(U109&gt;0, U109, 0)</f>
        <v>54262.2787468934</v>
      </c>
      <c r="G110" s="50" t="n">
        <f aca="false">IF(AND(V109&lt;&gt;"", V109&lt;$F$7), V109, G109)</f>
        <v>840.1</v>
      </c>
      <c r="H110" s="50" t="n">
        <f aca="false">IF(F110&gt;$F$7, ($G$2*($F$12/12)), 0)</f>
        <v>43.03125</v>
      </c>
      <c r="I110" s="50" t="n">
        <v>0</v>
      </c>
      <c r="J110" s="51" t="n">
        <f aca="false">IF(G110 = 0, 0, (H110+I110)/G110)</f>
        <v>0.0512215807641947</v>
      </c>
      <c r="K110" s="52" t="n">
        <f aca="false">G110</f>
        <v>840.1</v>
      </c>
      <c r="L110" s="50" t="n">
        <v>0</v>
      </c>
      <c r="M110" s="50" t="n">
        <f aca="false">IF(F110&gt;K110,K110-G110-N110+L110,0)</f>
        <v>0</v>
      </c>
      <c r="N110" s="50" t="n">
        <v>0</v>
      </c>
      <c r="O110" s="50" t="n">
        <f aca="false">(G110-R110-I110-H110)</f>
        <v>436.703046140997</v>
      </c>
      <c r="P110" s="51" t="n">
        <f aca="false">IF(G110 = 0, 0 , (O110/G110))</f>
        <v>0.519822695085106</v>
      </c>
      <c r="Q110" s="50" t="n">
        <f aca="false">SUM(L110:O110)</f>
        <v>436.703046140997</v>
      </c>
      <c r="R110" s="50" t="n">
        <f aca="false">F110*((1+$F$4)^(D110/360)-1)</f>
        <v>360.365703859003</v>
      </c>
      <c r="S110" s="51" t="n">
        <f aca="false">R110/G110</f>
        <v>0.4289557241507</v>
      </c>
      <c r="T110" s="50" t="n">
        <f aca="false">L110+M110+O110+R110+H110+I110</f>
        <v>840.1</v>
      </c>
      <c r="U110" s="50" t="n">
        <f aca="false">F110-O110-M110-L110</f>
        <v>53825.5757007524</v>
      </c>
      <c r="V110" s="2" t="str">
        <f aca="false">IF(M110&gt;0, ROUND(PMT($F$9,$F$10-E110-2,-U110)+$G$2*$F$12/12, 2), "")</f>
        <v/>
      </c>
      <c r="W110" s="2"/>
      <c r="X110" s="2" t="e">
        <f aca="false">IF(V110 &gt; 0, (G110-V110), 0)</f>
        <v>#VALUE!</v>
      </c>
      <c r="Y110" s="2" t="e">
        <f aca="false">X110*(180-E110)-M110</f>
        <v>#VALUE!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5.75" hidden="false" customHeight="true" outlineLevel="0" collapsed="false">
      <c r="A111" s="45" t="s">
        <v>66</v>
      </c>
      <c r="B111" s="46" t="b">
        <f aca="false">FALSE()</f>
        <v>0</v>
      </c>
      <c r="C111" s="47" t="n">
        <v>48715</v>
      </c>
      <c r="D111" s="48" t="n">
        <f aca="false">C111-C110</f>
        <v>30</v>
      </c>
      <c r="E111" s="49" t="n">
        <v>92</v>
      </c>
      <c r="F111" s="50" t="n">
        <f aca="false">IF(U110&gt;0, U110, 0)</f>
        <v>53825.5757007524</v>
      </c>
      <c r="G111" s="50" t="n">
        <f aca="false">IF(AND(V110&lt;&gt;"", V110&lt;$F$7), V110, G110)</f>
        <v>840.1</v>
      </c>
      <c r="H111" s="50" t="n">
        <f aca="false">IF(F111&gt;$F$7, ($G$2*($F$12/12)), 0)</f>
        <v>43.03125</v>
      </c>
      <c r="I111" s="50" t="n">
        <v>0</v>
      </c>
      <c r="J111" s="51" t="n">
        <f aca="false">IF(G111 = 0, 0, (H111+I111)/G111)</f>
        <v>0.0512215807641947</v>
      </c>
      <c r="K111" s="52" t="n">
        <f aca="false">G111</f>
        <v>840.1</v>
      </c>
      <c r="L111" s="50" t="n">
        <v>0</v>
      </c>
      <c r="M111" s="50" t="n">
        <f aca="false">IF(F111&gt;K111,K111-G111-N111+L111,0)</f>
        <v>0</v>
      </c>
      <c r="N111" s="50" t="n">
        <v>0</v>
      </c>
      <c r="O111" s="50" t="n">
        <f aca="false">(G111-R111-I111-H111)</f>
        <v>451.171385979737</v>
      </c>
      <c r="P111" s="51" t="n">
        <f aca="false">IF(G111 = 0, 0 , (O111/G111))</f>
        <v>0.537044858921244</v>
      </c>
      <c r="Q111" s="50" t="n">
        <f aca="false">SUM(L111:O111)</f>
        <v>451.171385979737</v>
      </c>
      <c r="R111" s="50" t="n">
        <f aca="false">F111*((1+$F$4)^(D111/360)-1)</f>
        <v>345.897364020263</v>
      </c>
      <c r="S111" s="51" t="n">
        <f aca="false">R111/G111</f>
        <v>0.411733560314562</v>
      </c>
      <c r="T111" s="50" t="n">
        <f aca="false">L111+M111+O111+R111+H111+I111</f>
        <v>840.1</v>
      </c>
      <c r="U111" s="50" t="n">
        <f aca="false">F111-O111-M111-L111</f>
        <v>53374.4043147727</v>
      </c>
      <c r="V111" s="2" t="str">
        <f aca="false">IF(M111&gt;0, ROUND(PMT($F$9,$F$10-E111-2,-U111)+$G$2*$F$12/12, 2), "")</f>
        <v/>
      </c>
      <c r="W111" s="2"/>
      <c r="X111" s="2" t="e">
        <f aca="false">IF(V111 &gt; 0, (G111-V111), 0)</f>
        <v>#VALUE!</v>
      </c>
      <c r="Y111" s="2" t="e">
        <f aca="false">X111*(180-E111)-M111</f>
        <v>#VALUE!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5.75" hidden="false" customHeight="true" outlineLevel="0" collapsed="false">
      <c r="A112" s="45" t="s">
        <v>66</v>
      </c>
      <c r="B112" s="46" t="b">
        <f aca="false">FALSE()</f>
        <v>0</v>
      </c>
      <c r="C112" s="47" t="n">
        <v>48746</v>
      </c>
      <c r="D112" s="48" t="n">
        <f aca="false">C112-C111</f>
        <v>31</v>
      </c>
      <c r="E112" s="49" t="n">
        <v>93</v>
      </c>
      <c r="F112" s="50" t="n">
        <f aca="false">IF(U111&gt;0, U111, 0)</f>
        <v>53374.4043147727</v>
      </c>
      <c r="G112" s="50" t="n">
        <f aca="false">IF(AND(V111&lt;&gt;"", V111&lt;$F$7), V111, G111)</f>
        <v>840.1</v>
      </c>
      <c r="H112" s="50" t="n">
        <f aca="false">IF(F112&gt;$F$7, ($G$2*($F$12/12)), 0)</f>
        <v>43.03125</v>
      </c>
      <c r="I112" s="50" t="n">
        <v>0</v>
      </c>
      <c r="J112" s="51" t="n">
        <f aca="false">IF(G112 = 0, 0, (H112+I112)/G112)</f>
        <v>0.0512215807641947</v>
      </c>
      <c r="K112" s="52" t="n">
        <f aca="false">G112</f>
        <v>840.1</v>
      </c>
      <c r="L112" s="50" t="n">
        <v>0</v>
      </c>
      <c r="M112" s="50" t="n">
        <f aca="false">IF(F112&gt;K112,K112-G112-N112+L112,0)</f>
        <v>0</v>
      </c>
      <c r="N112" s="50" t="n">
        <v>0</v>
      </c>
      <c r="O112" s="50" t="n">
        <f aca="false">(G112-R112-I112-H112)</f>
        <v>442.599582409997</v>
      </c>
      <c r="P112" s="51" t="n">
        <f aca="false">IF(G112 = 0, 0 , (O112/G112))</f>
        <v>0.526841545542193</v>
      </c>
      <c r="Q112" s="50" t="n">
        <f aca="false">SUM(L112:O112)</f>
        <v>442.599582409997</v>
      </c>
      <c r="R112" s="50" t="n">
        <f aca="false">F112*((1+$F$4)^(D112/360)-1)</f>
        <v>354.469167590004</v>
      </c>
      <c r="S112" s="51" t="n">
        <f aca="false">R112/G112</f>
        <v>0.421936873693612</v>
      </c>
      <c r="T112" s="50" t="n">
        <f aca="false">L112+M112+O112+R112+H112+I112</f>
        <v>840.1</v>
      </c>
      <c r="U112" s="50" t="n">
        <f aca="false">F112-O112-M112-L112</f>
        <v>52931.8047323627</v>
      </c>
      <c r="V112" s="2" t="str">
        <f aca="false">IF(M112&gt;0, ROUND(PMT($F$9,$F$10-E112-2,-U112)+$G$2*$F$12/12, 2), "")</f>
        <v/>
      </c>
      <c r="W112" s="2"/>
      <c r="X112" s="2" t="e">
        <f aca="false">IF(V112 &gt; 0, (G112-V112), 0)</f>
        <v>#VALUE!</v>
      </c>
      <c r="Y112" s="2" t="e">
        <f aca="false">X112*(180-E112)-M112</f>
        <v>#VALUE!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5.75" hidden="false" customHeight="true" outlineLevel="0" collapsed="false">
      <c r="A113" s="45" t="s">
        <v>66</v>
      </c>
      <c r="B113" s="46" t="b">
        <f aca="false">FALSE()</f>
        <v>0</v>
      </c>
      <c r="C113" s="47" t="n">
        <v>48776</v>
      </c>
      <c r="D113" s="48" t="n">
        <f aca="false">C113-C112</f>
        <v>30</v>
      </c>
      <c r="E113" s="49" t="n">
        <v>94</v>
      </c>
      <c r="F113" s="50" t="n">
        <f aca="false">IF(U112&gt;0, U112, 0)</f>
        <v>52931.8047323627</v>
      </c>
      <c r="G113" s="50" t="n">
        <f aca="false">IF(AND(V112&lt;&gt;"", V112&lt;$F$7), V112, G112)</f>
        <v>840.1</v>
      </c>
      <c r="H113" s="50" t="n">
        <f aca="false">IF(F113&gt;$F$7, ($G$2*($F$12/12)), 0)</f>
        <v>43.03125</v>
      </c>
      <c r="I113" s="50" t="n">
        <v>0</v>
      </c>
      <c r="J113" s="51" t="n">
        <f aca="false">IF(G113 = 0, 0, (H113+I113)/G113)</f>
        <v>0.0512215807641947</v>
      </c>
      <c r="K113" s="52" t="n">
        <f aca="false">G113</f>
        <v>840.1</v>
      </c>
      <c r="L113" s="50" t="n">
        <v>0</v>
      </c>
      <c r="M113" s="50" t="n">
        <f aca="false">IF(F113&gt;K113,K113-G113-N113+L113,0)</f>
        <v>0</v>
      </c>
      <c r="N113" s="50" t="n">
        <v>0</v>
      </c>
      <c r="O113" s="50" t="n">
        <f aca="false">(G113-R113-I113-H113)</f>
        <v>456.914994254781</v>
      </c>
      <c r="P113" s="51" t="n">
        <f aca="false">IF(G113 = 0, 0 , (O113/G113))</f>
        <v>0.543881673913559</v>
      </c>
      <c r="Q113" s="50" t="n">
        <f aca="false">SUM(L113:O113)</f>
        <v>456.914994254781</v>
      </c>
      <c r="R113" s="50" t="n">
        <f aca="false">F113*((1+$F$4)^(D113/360)-1)</f>
        <v>340.153755745219</v>
      </c>
      <c r="S113" s="51" t="n">
        <f aca="false">R113/G113</f>
        <v>0.404896745322246</v>
      </c>
      <c r="T113" s="50" t="n">
        <f aca="false">L113+M113+O113+R113+H113+I113</f>
        <v>840.1</v>
      </c>
      <c r="U113" s="50" t="n">
        <f aca="false">F113-O113-M113-L113</f>
        <v>52474.8897381079</v>
      </c>
      <c r="V113" s="2" t="str">
        <f aca="false">IF(M113&gt;0, ROUND(PMT($F$9,$F$10-E113-2,-U113)+$G$2*$F$12/12, 2), "")</f>
        <v/>
      </c>
      <c r="W113" s="2"/>
      <c r="X113" s="2" t="e">
        <f aca="false">IF(V113 &gt; 0, (G113-V113), 0)</f>
        <v>#VALUE!</v>
      </c>
      <c r="Y113" s="2" t="e">
        <f aca="false">X113*(180-E113)-M113</f>
        <v>#VALUE!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5.75" hidden="false" customHeight="true" outlineLevel="0" collapsed="false">
      <c r="A114" s="45" t="s">
        <v>66</v>
      </c>
      <c r="B114" s="46" t="b">
        <f aca="false">FALSE()</f>
        <v>0</v>
      </c>
      <c r="C114" s="47" t="n">
        <v>48807</v>
      </c>
      <c r="D114" s="48" t="n">
        <f aca="false">C114-C113</f>
        <v>31</v>
      </c>
      <c r="E114" s="49" t="n">
        <v>95</v>
      </c>
      <c r="F114" s="50" t="n">
        <f aca="false">IF(U113&gt;0, U113, 0)</f>
        <v>52474.8897381079</v>
      </c>
      <c r="G114" s="50" t="n">
        <f aca="false">IF(AND(V113&lt;&gt;"", V113&lt;$F$7), V113, G113)</f>
        <v>840.1</v>
      </c>
      <c r="H114" s="50" t="n">
        <f aca="false">IF(F114&gt;$F$7, ($G$2*($F$12/12)), 0)</f>
        <v>43.03125</v>
      </c>
      <c r="I114" s="50" t="n">
        <v>0</v>
      </c>
      <c r="J114" s="51" t="n">
        <f aca="false">IF(G114 = 0, 0, (H114+I114)/G114)</f>
        <v>0.0512215807641947</v>
      </c>
      <c r="K114" s="52" t="n">
        <f aca="false">G114</f>
        <v>840.1</v>
      </c>
      <c r="L114" s="50" t="n">
        <v>0</v>
      </c>
      <c r="M114" s="50" t="n">
        <f aca="false">IF(F114&gt;K114,K114-G114-N114+L114,0)</f>
        <v>0</v>
      </c>
      <c r="N114" s="50" t="n">
        <v>0</v>
      </c>
      <c r="O114" s="50" t="n">
        <f aca="false">(G114-R114-I114-H114)</f>
        <v>448.57342300492</v>
      </c>
      <c r="P114" s="51" t="n">
        <f aca="false">IF(G114 = 0, 0 , (O114/G114))</f>
        <v>0.53395241400419</v>
      </c>
      <c r="Q114" s="50" t="n">
        <f aca="false">SUM(L114:O114)</f>
        <v>448.57342300492</v>
      </c>
      <c r="R114" s="50" t="n">
        <f aca="false">F114*((1+$F$4)^(D114/360)-1)</f>
        <v>348.49532699508</v>
      </c>
      <c r="S114" s="51" t="n">
        <f aca="false">R114/G114</f>
        <v>0.414826005231616</v>
      </c>
      <c r="T114" s="50" t="n">
        <f aca="false">L114+M114+O114+R114+H114+I114</f>
        <v>840.1</v>
      </c>
      <c r="U114" s="50" t="n">
        <f aca="false">F114-O114-M114-L114</f>
        <v>52026.316315103</v>
      </c>
      <c r="V114" s="2" t="str">
        <f aca="false">IF(M114&gt;0, ROUND(PMT($F$9,$F$10-E114-2,-U114)+$G$2*$F$12/12, 2), "")</f>
        <v/>
      </c>
      <c r="W114" s="2"/>
      <c r="X114" s="2" t="e">
        <f aca="false">IF(V114 &gt; 0, (G114-V114), 0)</f>
        <v>#VALUE!</v>
      </c>
      <c r="Y114" s="2" t="e">
        <f aca="false">X114*(180-E114)-M114</f>
        <v>#VALUE!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5.75" hidden="false" customHeight="true" outlineLevel="0" collapsed="false">
      <c r="A115" s="45" t="s">
        <v>66</v>
      </c>
      <c r="B115" s="46" t="b">
        <f aca="false">FALSE()</f>
        <v>0</v>
      </c>
      <c r="C115" s="47" t="n">
        <v>48838</v>
      </c>
      <c r="D115" s="48" t="n">
        <f aca="false">C115-C114</f>
        <v>31</v>
      </c>
      <c r="E115" s="49" t="n">
        <v>96</v>
      </c>
      <c r="F115" s="50" t="n">
        <f aca="false">IF(U114&gt;0, U114, 0)</f>
        <v>52026.316315103</v>
      </c>
      <c r="G115" s="50" t="n">
        <f aca="false">IF(AND(V114&lt;&gt;"", V114&lt;$F$7), V114, G114)</f>
        <v>840.1</v>
      </c>
      <c r="H115" s="50" t="n">
        <f aca="false">IF(F115&gt;$F$7, ($G$2*($F$12/12)), 0)</f>
        <v>43.03125</v>
      </c>
      <c r="I115" s="50" t="n">
        <v>0</v>
      </c>
      <c r="J115" s="51" t="n">
        <f aca="false">IF(G115 = 0, 0, (H115+I115)/G115)</f>
        <v>0.0512215807641947</v>
      </c>
      <c r="K115" s="52" t="n">
        <f aca="false">G115</f>
        <v>840.1</v>
      </c>
      <c r="L115" s="50" t="n">
        <v>0</v>
      </c>
      <c r="M115" s="50" t="n">
        <f aca="false">IF(F115&gt;K115,K115-G115-N115+L115,0)</f>
        <v>0</v>
      </c>
      <c r="N115" s="50" t="n">
        <v>0</v>
      </c>
      <c r="O115" s="50" t="n">
        <f aca="false">(G115-R115-I115-H115)</f>
        <v>451.552481036515</v>
      </c>
      <c r="P115" s="51" t="n">
        <f aca="false">IF(G115 = 0, 0 , (O115/G115))</f>
        <v>0.537498489509005</v>
      </c>
      <c r="Q115" s="50" t="n">
        <f aca="false">SUM(L115:O115)</f>
        <v>451.552481036515</v>
      </c>
      <c r="R115" s="50" t="n">
        <f aca="false">F115*((1+$F$4)^(D115/360)-1)</f>
        <v>345.516268963485</v>
      </c>
      <c r="S115" s="51" t="n">
        <f aca="false">R115/G115</f>
        <v>0.4112799297268</v>
      </c>
      <c r="T115" s="50" t="n">
        <f aca="false">L115+M115+O115+R115+H115+I115</f>
        <v>840.1</v>
      </c>
      <c r="U115" s="50" t="n">
        <f aca="false">F115-O115-M115-L115</f>
        <v>51574.7638340665</v>
      </c>
      <c r="V115" s="2" t="str">
        <f aca="false">IF(M115&gt;0, ROUND(PMT($F$9,$F$10-E115-2,-U115)+$G$2*$F$12/12, 2), "")</f>
        <v/>
      </c>
      <c r="W115" s="2"/>
      <c r="X115" s="2" t="e">
        <f aca="false">IF(V115 &gt; 0, (G115-V115), 0)</f>
        <v>#VALUE!</v>
      </c>
      <c r="Y115" s="2" t="e">
        <f aca="false">X115*(180-E115)-M115</f>
        <v>#VALUE!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5.75" hidden="false" customHeight="true" outlineLevel="0" collapsed="false">
      <c r="A116" s="45" t="s">
        <v>66</v>
      </c>
      <c r="B116" s="46" t="b">
        <f aca="false">FALSE()</f>
        <v>0</v>
      </c>
      <c r="C116" s="47" t="n">
        <v>48868</v>
      </c>
      <c r="D116" s="48" t="n">
        <f aca="false">C116-C115</f>
        <v>30</v>
      </c>
      <c r="E116" s="49" t="n">
        <v>97</v>
      </c>
      <c r="F116" s="50" t="n">
        <f aca="false">IF(U115&gt;0, U115, 0)</f>
        <v>51574.7638340665</v>
      </c>
      <c r="G116" s="50" t="n">
        <f aca="false">IF(AND(V115&lt;&gt;"", V115&lt;$F$7), V115, G115)</f>
        <v>840.1</v>
      </c>
      <c r="H116" s="50" t="n">
        <f aca="false">IF(F116&gt;$F$7, ($G$2*($F$12/12)), 0)</f>
        <v>43.03125</v>
      </c>
      <c r="I116" s="50" t="n">
        <v>0</v>
      </c>
      <c r="J116" s="51" t="n">
        <f aca="false">IF(G116 = 0, 0, (H116+I116)/G116)</f>
        <v>0.0512215807641947</v>
      </c>
      <c r="K116" s="52" t="n">
        <f aca="false">G116</f>
        <v>840.1</v>
      </c>
      <c r="L116" s="50" t="n">
        <v>0</v>
      </c>
      <c r="M116" s="50" t="n">
        <f aca="false">IF(F116&gt;K116,K116-G116-N116+L116,0)</f>
        <v>0</v>
      </c>
      <c r="N116" s="50" t="n">
        <v>0</v>
      </c>
      <c r="O116" s="50" t="n">
        <f aca="false">(G116-R116-I116-H116)</f>
        <v>465.635697442388</v>
      </c>
      <c r="P116" s="51" t="n">
        <f aca="false">IF(G116 = 0, 0 , (O116/G116))</f>
        <v>0.554262227642409</v>
      </c>
      <c r="Q116" s="50" t="n">
        <f aca="false">SUM(L116:O116)</f>
        <v>465.635697442388</v>
      </c>
      <c r="R116" s="50" t="n">
        <f aca="false">F116*((1+$F$4)^(D116/360)-1)</f>
        <v>331.433052557612</v>
      </c>
      <c r="S116" s="51" t="n">
        <f aca="false">R116/G116</f>
        <v>0.394516191593396</v>
      </c>
      <c r="T116" s="50" t="n">
        <f aca="false">L116+M116+O116+R116+H116+I116</f>
        <v>840.1</v>
      </c>
      <c r="U116" s="50" t="n">
        <f aca="false">F116-O116-M116-L116</f>
        <v>51109.1281366241</v>
      </c>
      <c r="V116" s="2" t="str">
        <f aca="false">IF(M116&gt;0, ROUND(PMT($F$9,$F$10-E116-2,-U116)+$G$2*$F$12/12, 2), "")</f>
        <v/>
      </c>
      <c r="W116" s="2"/>
      <c r="X116" s="2" t="e">
        <f aca="false">IF(V116 &gt; 0, (G116-V116), 0)</f>
        <v>#VALUE!</v>
      </c>
      <c r="Y116" s="2" t="e">
        <f aca="false">X116*(180-E116)-M116</f>
        <v>#VALUE!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5.75" hidden="false" customHeight="true" outlineLevel="0" collapsed="false">
      <c r="A117" s="45" t="s">
        <v>66</v>
      </c>
      <c r="B117" s="46" t="b">
        <f aca="false">FALSE()</f>
        <v>0</v>
      </c>
      <c r="C117" s="47" t="n">
        <v>48899</v>
      </c>
      <c r="D117" s="48" t="n">
        <f aca="false">C117-C116</f>
        <v>31</v>
      </c>
      <c r="E117" s="49" t="n">
        <v>98</v>
      </c>
      <c r="F117" s="50" t="n">
        <f aca="false">IF(U116&gt;0, U116, 0)</f>
        <v>51109.1281366241</v>
      </c>
      <c r="G117" s="50" t="n">
        <f aca="false">IF(AND(V116&lt;&gt;"", V116&lt;$F$7), V116, G116)</f>
        <v>840.1</v>
      </c>
      <c r="H117" s="50" t="n">
        <f aca="false">IF(F117&gt;$F$7, ($G$2*($F$12/12)), 0)</f>
        <v>43.03125</v>
      </c>
      <c r="I117" s="50" t="n">
        <v>0</v>
      </c>
      <c r="J117" s="51" t="n">
        <f aca="false">IF(G117 = 0, 0, (H117+I117)/G117)</f>
        <v>0.0512215807641947</v>
      </c>
      <c r="K117" s="52" t="n">
        <f aca="false">G117</f>
        <v>840.1</v>
      </c>
      <c r="L117" s="50" t="n">
        <v>0</v>
      </c>
      <c r="M117" s="50" t="n">
        <f aca="false">IF(F117&gt;K117,K117-G117-N117+L117,0)</f>
        <v>0</v>
      </c>
      <c r="N117" s="50" t="n">
        <v>0</v>
      </c>
      <c r="O117" s="50" t="n">
        <f aca="false">(G117-R117-I117-H117)</f>
        <v>457.643695249071</v>
      </c>
      <c r="P117" s="51" t="n">
        <f aca="false">IF(G117 = 0, 0 , (O117/G117))</f>
        <v>0.54474907183558</v>
      </c>
      <c r="Q117" s="50" t="n">
        <f aca="false">SUM(L117:O117)</f>
        <v>457.643695249071</v>
      </c>
      <c r="R117" s="50" t="n">
        <f aca="false">F117*((1+$F$4)^(D117/360)-1)</f>
        <v>339.425054750929</v>
      </c>
      <c r="S117" s="51" t="n">
        <f aca="false">R117/G117</f>
        <v>0.404029347400226</v>
      </c>
      <c r="T117" s="50" t="n">
        <f aca="false">L117+M117+O117+R117+H117+I117</f>
        <v>840.1</v>
      </c>
      <c r="U117" s="50" t="n">
        <f aca="false">F117-O117-M117-L117</f>
        <v>50651.484441375</v>
      </c>
      <c r="V117" s="2" t="str">
        <f aca="false">IF(M117&gt;0, ROUND(PMT($F$9,$F$10-E117-2,-U117)+$G$2*$F$12/12, 2), "")</f>
        <v/>
      </c>
      <c r="W117" s="2"/>
      <c r="X117" s="2" t="e">
        <f aca="false">IF(V117 &gt; 0, (G117-V117), 0)</f>
        <v>#VALUE!</v>
      </c>
      <c r="Y117" s="2" t="e">
        <f aca="false">X117*(180-E117)-M117</f>
        <v>#VALUE!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5.75" hidden="false" customHeight="true" outlineLevel="0" collapsed="false">
      <c r="A118" s="45" t="s">
        <v>66</v>
      </c>
      <c r="B118" s="46" t="b">
        <f aca="false">FALSE()</f>
        <v>0</v>
      </c>
      <c r="C118" s="47" t="n">
        <v>48929</v>
      </c>
      <c r="D118" s="48" t="n">
        <f aca="false">C118-C117</f>
        <v>30</v>
      </c>
      <c r="E118" s="49" t="n">
        <v>99</v>
      </c>
      <c r="F118" s="50" t="n">
        <f aca="false">IF(U117&gt;0, U117, 0)</f>
        <v>50651.484441375</v>
      </c>
      <c r="G118" s="50" t="n">
        <f aca="false">IF(AND(V117&lt;&gt;"", V117&lt;$F$7), V117, G117)</f>
        <v>840.1</v>
      </c>
      <c r="H118" s="50" t="n">
        <f aca="false">IF(F118&gt;$F$7, ($G$2*($F$12/12)), 0)</f>
        <v>43.03125</v>
      </c>
      <c r="I118" s="50" t="n">
        <v>0</v>
      </c>
      <c r="J118" s="51" t="n">
        <f aca="false">IF(G118 = 0, 0, (H118+I118)/G118)</f>
        <v>0.0512215807641947</v>
      </c>
      <c r="K118" s="52" t="n">
        <f aca="false">G118</f>
        <v>840.1</v>
      </c>
      <c r="L118" s="50" t="n">
        <v>0</v>
      </c>
      <c r="M118" s="50" t="n">
        <f aca="false">IF(F118&gt;K118,K118-G118-N118+L118,0)</f>
        <v>0</v>
      </c>
      <c r="N118" s="50" t="n">
        <v>0</v>
      </c>
      <c r="O118" s="50" t="n">
        <f aca="false">(G118-R118-I118-H118)</f>
        <v>471.568934644749</v>
      </c>
      <c r="P118" s="51" t="n">
        <f aca="false">IF(G118 = 0, 0 , (O118/G118))</f>
        <v>0.561324764486072</v>
      </c>
      <c r="Q118" s="50" t="n">
        <f aca="false">SUM(L118:O118)</f>
        <v>471.568934644749</v>
      </c>
      <c r="R118" s="50" t="n">
        <f aca="false">F118*((1+$F$4)^(D118/360)-1)</f>
        <v>325.499815355251</v>
      </c>
      <c r="S118" s="51" t="n">
        <f aca="false">R118/G118</f>
        <v>0.387453654749733</v>
      </c>
      <c r="T118" s="50" t="n">
        <f aca="false">L118+M118+O118+R118+H118+I118</f>
        <v>840.1</v>
      </c>
      <c r="U118" s="50" t="n">
        <f aca="false">F118-O118-M118-L118</f>
        <v>50179.9155067303</v>
      </c>
      <c r="V118" s="2" t="str">
        <f aca="false">IF(M118&gt;0, ROUND(PMT($F$9,$F$10-E118-2,-U118)+$G$2*$F$12/12, 2), "")</f>
        <v/>
      </c>
      <c r="W118" s="2"/>
      <c r="X118" s="2" t="e">
        <f aca="false">IF(V118 &gt; 0, (G118-V118), 0)</f>
        <v>#VALUE!</v>
      </c>
      <c r="Y118" s="2" t="e">
        <f aca="false">X118*(180-E118)-M118</f>
        <v>#VALUE!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5.75" hidden="false" customHeight="true" outlineLevel="0" collapsed="false">
      <c r="A119" s="45" t="s">
        <v>66</v>
      </c>
      <c r="B119" s="46" t="b">
        <f aca="false">FALSE()</f>
        <v>0</v>
      </c>
      <c r="C119" s="47" t="n">
        <v>48960</v>
      </c>
      <c r="D119" s="48" t="n">
        <f aca="false">C119-C118</f>
        <v>31</v>
      </c>
      <c r="E119" s="49" t="n">
        <v>100</v>
      </c>
      <c r="F119" s="50" t="n">
        <f aca="false">IF(U118&gt;0, U118, 0)</f>
        <v>50179.9155067303</v>
      </c>
      <c r="G119" s="50" t="n">
        <f aca="false">IF(AND(V118&lt;&gt;"", V118&lt;$F$7), V118, G118)</f>
        <v>840.1</v>
      </c>
      <c r="H119" s="50" t="n">
        <f aca="false">IF(F119&gt;$F$7, ($G$2*($F$12/12)), 0)</f>
        <v>43.03125</v>
      </c>
      <c r="I119" s="50" t="n">
        <v>0</v>
      </c>
      <c r="J119" s="51" t="n">
        <f aca="false">IF(G119 = 0, 0, (H119+I119)/G119)</f>
        <v>0.0512215807641947</v>
      </c>
      <c r="K119" s="52" t="n">
        <f aca="false">G119</f>
        <v>840.1</v>
      </c>
      <c r="L119" s="50" t="n">
        <v>0</v>
      </c>
      <c r="M119" s="50" t="n">
        <f aca="false">IF(F119&gt;K119,K119-G119-N119+L119,0)</f>
        <v>0</v>
      </c>
      <c r="N119" s="50" t="n">
        <v>0</v>
      </c>
      <c r="O119" s="50" t="n">
        <f aca="false">(G119-R119-I119-H119)</f>
        <v>463.814766039671</v>
      </c>
      <c r="P119" s="51" t="n">
        <f aca="false">IF(G119 = 0, 0 , (O119/G119))</f>
        <v>0.552094710200775</v>
      </c>
      <c r="Q119" s="50" t="n">
        <f aca="false">SUM(L119:O119)</f>
        <v>463.814766039671</v>
      </c>
      <c r="R119" s="50" t="n">
        <f aca="false">F119*((1+$F$4)^(D119/360)-1)</f>
        <v>333.253983960329</v>
      </c>
      <c r="S119" s="51" t="n">
        <f aca="false">R119/G119</f>
        <v>0.396683709035031</v>
      </c>
      <c r="T119" s="50" t="n">
        <f aca="false">L119+M119+O119+R119+H119+I119</f>
        <v>840.1</v>
      </c>
      <c r="U119" s="50" t="n">
        <f aca="false">F119-O119-M119-L119</f>
        <v>49716.1007406906</v>
      </c>
      <c r="V119" s="2" t="str">
        <f aca="false">IF(M119&gt;0, ROUND(PMT($F$9,$F$10-E119-2,-U119)+$G$2*$F$12/12, 2), "")</f>
        <v/>
      </c>
      <c r="W119" s="2"/>
      <c r="X119" s="2" t="e">
        <f aca="false">IF(V119 &gt; 0, (G119-V119), 0)</f>
        <v>#VALUE!</v>
      </c>
      <c r="Y119" s="2" t="e">
        <f aca="false">X119*(180-E119)-M119</f>
        <v>#VALUE!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5.75" hidden="false" customHeight="true" outlineLevel="0" collapsed="false">
      <c r="A120" s="45" t="s">
        <v>66</v>
      </c>
      <c r="B120" s="46" t="b">
        <f aca="false">FALSE()</f>
        <v>0</v>
      </c>
      <c r="C120" s="47" t="n">
        <v>48991</v>
      </c>
      <c r="D120" s="48" t="n">
        <f aca="false">C120-C119</f>
        <v>31</v>
      </c>
      <c r="E120" s="49" t="n">
        <v>101</v>
      </c>
      <c r="F120" s="50" t="n">
        <f aca="false">IF(U119&gt;0, U119, 0)</f>
        <v>49716.1007406906</v>
      </c>
      <c r="G120" s="50" t="n">
        <f aca="false">IF(AND(V119&lt;&gt;"", V119&lt;$F$7), V119, G119)</f>
        <v>840.1</v>
      </c>
      <c r="H120" s="50" t="n">
        <f aca="false">IF(F120&gt;$F$7, ($G$2*($F$12/12)), 0)</f>
        <v>43.03125</v>
      </c>
      <c r="I120" s="50" t="n">
        <v>0</v>
      </c>
      <c r="J120" s="51" t="n">
        <f aca="false">IF(G120 = 0, 0, (H120+I120)/G120)</f>
        <v>0.0512215807641947</v>
      </c>
      <c r="K120" s="52" t="n">
        <f aca="false">G120</f>
        <v>840.1</v>
      </c>
      <c r="L120" s="50" t="n">
        <v>0</v>
      </c>
      <c r="M120" s="50" t="n">
        <f aca="false">IF(F120&gt;K120,K120-G120-N120+L120,0)</f>
        <v>0</v>
      </c>
      <c r="N120" s="50" t="n">
        <v>0</v>
      </c>
      <c r="O120" s="50" t="n">
        <f aca="false">(G120-R120-I120-H120)</f>
        <v>466.895044614106</v>
      </c>
      <c r="P120" s="51" t="n">
        <f aca="false">IF(G120 = 0, 0 , (O120/G120))</f>
        <v>0.55576127200822</v>
      </c>
      <c r="Q120" s="50" t="n">
        <f aca="false">SUM(L120:O120)</f>
        <v>466.895044614106</v>
      </c>
      <c r="R120" s="50" t="n">
        <f aca="false">F120*((1+$F$4)^(D120/360)-1)</f>
        <v>330.173705385894</v>
      </c>
      <c r="S120" s="51" t="n">
        <f aca="false">R120/G120</f>
        <v>0.393017147227585</v>
      </c>
      <c r="T120" s="50" t="n">
        <f aca="false">L120+M120+O120+R120+H120+I120</f>
        <v>840.1</v>
      </c>
      <c r="U120" s="50" t="n">
        <f aca="false">F120-O120-M120-L120</f>
        <v>49249.2056960765</v>
      </c>
      <c r="V120" s="2" t="str">
        <f aca="false">IF(M120&gt;0, ROUND(PMT($F$9,$F$10-E120-2,-U120)+$G$2*$F$12/12, 2), "")</f>
        <v/>
      </c>
      <c r="W120" s="2"/>
      <c r="X120" s="2" t="e">
        <f aca="false">IF(V120 &gt; 0, (G120-V120), 0)</f>
        <v>#VALUE!</v>
      </c>
      <c r="Y120" s="2" t="e">
        <f aca="false">X120*(180-E120)-M120</f>
        <v>#VALUE!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5.75" hidden="false" customHeight="true" outlineLevel="0" collapsed="false">
      <c r="A121" s="45" t="s">
        <v>66</v>
      </c>
      <c r="B121" s="46" t="b">
        <f aca="false">FALSE()</f>
        <v>0</v>
      </c>
      <c r="C121" s="47" t="n">
        <v>49019</v>
      </c>
      <c r="D121" s="48" t="n">
        <f aca="false">C121-C120</f>
        <v>28</v>
      </c>
      <c r="E121" s="49" t="n">
        <v>102</v>
      </c>
      <c r="F121" s="50" t="n">
        <f aca="false">IF(U120&gt;0, U120, 0)</f>
        <v>49249.2056960765</v>
      </c>
      <c r="G121" s="50" t="n">
        <f aca="false">IF(AND(V120&lt;&gt;"", V120&lt;$F$7), V120, G120)</f>
        <v>840.1</v>
      </c>
      <c r="H121" s="50" t="n">
        <f aca="false">IF(F121&gt;$F$7, ($G$2*($F$12/12)), 0)</f>
        <v>43.03125</v>
      </c>
      <c r="I121" s="50" t="n">
        <v>0</v>
      </c>
      <c r="J121" s="51" t="n">
        <f aca="false">IF(G121 = 0, 0, (H121+I121)/G121)</f>
        <v>0.0512215807641947</v>
      </c>
      <c r="K121" s="52" t="n">
        <f aca="false">G121</f>
        <v>840.1</v>
      </c>
      <c r="L121" s="50" t="n">
        <v>0</v>
      </c>
      <c r="M121" s="50" t="n">
        <f aca="false">IF(F121&gt;K121,K121-G121-N121+L121,0)</f>
        <v>0</v>
      </c>
      <c r="N121" s="50" t="n">
        <v>0</v>
      </c>
      <c r="O121" s="50" t="n">
        <f aca="false">(G121-R121-I121-H121)</f>
        <v>501.742705834736</v>
      </c>
      <c r="P121" s="51" t="n">
        <f aca="false">IF(G121 = 0, 0 , (O121/G121))</f>
        <v>0.597241644845538</v>
      </c>
      <c r="Q121" s="50" t="n">
        <f aca="false">SUM(L121:O121)</f>
        <v>501.742705834736</v>
      </c>
      <c r="R121" s="50" t="n">
        <f aca="false">F121*((1+$F$4)^(D121/360)-1)</f>
        <v>295.326044165264</v>
      </c>
      <c r="S121" s="51" t="n">
        <f aca="false">R121/G121</f>
        <v>0.351536774390267</v>
      </c>
      <c r="T121" s="50" t="n">
        <f aca="false">L121+M121+O121+R121+H121+I121</f>
        <v>840.1</v>
      </c>
      <c r="U121" s="50" t="n">
        <f aca="false">F121-O121-M121-L121</f>
        <v>48747.4629902417</v>
      </c>
      <c r="V121" s="2" t="str">
        <f aca="false">IF(M121&gt;0, ROUND(PMT($F$9,$F$10-E121-2,-U121)+$G$2*$F$12/12, 2), "")</f>
        <v/>
      </c>
      <c r="W121" s="2"/>
      <c r="X121" s="2" t="e">
        <f aca="false">IF(V121 &gt; 0, (G121-V121), 0)</f>
        <v>#VALUE!</v>
      </c>
      <c r="Y121" s="2" t="e">
        <f aca="false">X121*(180-E121)-M121</f>
        <v>#VALUE!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5.75" hidden="false" customHeight="true" outlineLevel="0" collapsed="false">
      <c r="A122" s="45" t="s">
        <v>66</v>
      </c>
      <c r="B122" s="46" t="b">
        <f aca="false">FALSE()</f>
        <v>0</v>
      </c>
      <c r="C122" s="47" t="n">
        <v>49050</v>
      </c>
      <c r="D122" s="48" t="n">
        <f aca="false">C122-C121</f>
        <v>31</v>
      </c>
      <c r="E122" s="49" t="n">
        <v>103</v>
      </c>
      <c r="F122" s="50" t="n">
        <f aca="false">IF(U121&gt;0, U121, 0)</f>
        <v>48747.4629902417</v>
      </c>
      <c r="G122" s="50" t="n">
        <f aca="false">IF(AND(V121&lt;&gt;"", V121&lt;$F$7), V121, G121)</f>
        <v>840.1</v>
      </c>
      <c r="H122" s="50" t="n">
        <f aca="false">IF(F122&gt;$F$7, ($G$2*($F$12/12)), 0)</f>
        <v>43.03125</v>
      </c>
      <c r="I122" s="50" t="n">
        <v>0</v>
      </c>
      <c r="J122" s="51" t="n">
        <f aca="false">IF(G122 = 0, 0, (H122+I122)/G122)</f>
        <v>0.0512215807641947</v>
      </c>
      <c r="K122" s="52" t="n">
        <f aca="false">G122</f>
        <v>840.1</v>
      </c>
      <c r="L122" s="50" t="n">
        <v>0</v>
      </c>
      <c r="M122" s="50" t="n">
        <f aca="false">IF(F122&gt;K122,K122-G122-N122+L122,0)</f>
        <v>0</v>
      </c>
      <c r="N122" s="50" t="n">
        <v>0</v>
      </c>
      <c r="O122" s="50" t="n">
        <f aca="false">(G122-R122-I122-H122)</f>
        <v>473.327944831089</v>
      </c>
      <c r="P122" s="51" t="n">
        <f aca="false">IF(G122 = 0, 0 , (O122/G122))</f>
        <v>0.563418574968562</v>
      </c>
      <c r="Q122" s="50" t="n">
        <f aca="false">SUM(L122:O122)</f>
        <v>473.327944831089</v>
      </c>
      <c r="R122" s="50" t="n">
        <f aca="false">F122*((1+$F$4)^(D122/360)-1)</f>
        <v>323.740805168911</v>
      </c>
      <c r="S122" s="51" t="n">
        <f aca="false">R122/G122</f>
        <v>0.385359844267243</v>
      </c>
      <c r="T122" s="50" t="n">
        <f aca="false">L122+M122+O122+R122+H122+I122</f>
        <v>840.1</v>
      </c>
      <c r="U122" s="50" t="n">
        <f aca="false">F122-O122-M122-L122</f>
        <v>48274.1350454107</v>
      </c>
      <c r="V122" s="2" t="str">
        <f aca="false">IF(M122&gt;0, ROUND(PMT($F$9,$F$10-E122-2,-U122)+$G$2*$F$12/12, 2), "")</f>
        <v/>
      </c>
      <c r="W122" s="2"/>
      <c r="X122" s="2" t="e">
        <f aca="false">IF(V122 &gt; 0, (G122-V122), 0)</f>
        <v>#VALUE!</v>
      </c>
      <c r="Y122" s="2" t="e">
        <f aca="false">X122*(180-E122)-M122</f>
        <v>#VALUE!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5.75" hidden="false" customHeight="true" outlineLevel="0" collapsed="false">
      <c r="A123" s="45" t="s">
        <v>66</v>
      </c>
      <c r="B123" s="46" t="b">
        <f aca="false">FALSE()</f>
        <v>0</v>
      </c>
      <c r="C123" s="47" t="n">
        <v>49080</v>
      </c>
      <c r="D123" s="48" t="n">
        <f aca="false">C123-C122</f>
        <v>30</v>
      </c>
      <c r="E123" s="49" t="n">
        <v>104</v>
      </c>
      <c r="F123" s="50" t="n">
        <f aca="false">IF(U122&gt;0, U122, 0)</f>
        <v>48274.1350454107</v>
      </c>
      <c r="G123" s="50" t="n">
        <f aca="false">IF(AND(V122&lt;&gt;"", V122&lt;$F$7), V122, G122)</f>
        <v>840.1</v>
      </c>
      <c r="H123" s="50" t="n">
        <f aca="false">IF(F123&gt;$F$7, ($G$2*($F$12/12)), 0)</f>
        <v>43.03125</v>
      </c>
      <c r="I123" s="50" t="n">
        <v>0</v>
      </c>
      <c r="J123" s="51" t="n">
        <f aca="false">IF(G123 = 0, 0, (H123+I123)/G123)</f>
        <v>0.0512215807641947</v>
      </c>
      <c r="K123" s="52" t="n">
        <f aca="false">G123</f>
        <v>840.1</v>
      </c>
      <c r="L123" s="50" t="n">
        <v>0</v>
      </c>
      <c r="M123" s="50" t="n">
        <f aca="false">IF(F123&gt;K123,K123-G123-N123+L123,0)</f>
        <v>0</v>
      </c>
      <c r="N123" s="50" t="n">
        <v>0</v>
      </c>
      <c r="O123" s="50" t="n">
        <f aca="false">(G123-R123-I123-H123)</f>
        <v>486.846409687301</v>
      </c>
      <c r="P123" s="51" t="n">
        <f aca="false">IF(G123 = 0, 0 , (O123/G123))</f>
        <v>0.579510069857518</v>
      </c>
      <c r="Q123" s="50" t="n">
        <f aca="false">SUM(L123:O123)</f>
        <v>486.846409687301</v>
      </c>
      <c r="R123" s="50" t="n">
        <f aca="false">F123*((1+$F$4)^(D123/360)-1)</f>
        <v>310.222340312699</v>
      </c>
      <c r="S123" s="51" t="n">
        <f aca="false">R123/G123</f>
        <v>0.369268349378287</v>
      </c>
      <c r="T123" s="50" t="n">
        <f aca="false">L123+M123+O123+R123+H123+I123</f>
        <v>840.1</v>
      </c>
      <c r="U123" s="50" t="n">
        <f aca="false">F123-O123-M123-L123</f>
        <v>47787.2886357234</v>
      </c>
      <c r="V123" s="2" t="str">
        <f aca="false">IF(M123&gt;0, ROUND(PMT($F$9,$F$10-E123-2,-U123)+$G$2*$F$12/12, 2), "")</f>
        <v/>
      </c>
      <c r="W123" s="2"/>
      <c r="X123" s="2" t="e">
        <f aca="false">IF(V123 &gt; 0, (G123-V123), 0)</f>
        <v>#VALUE!</v>
      </c>
      <c r="Y123" s="2" t="e">
        <f aca="false">X123*(180-E123)-M123</f>
        <v>#VALUE!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5.75" hidden="false" customHeight="true" outlineLevel="0" collapsed="false">
      <c r="A124" s="45" t="s">
        <v>66</v>
      </c>
      <c r="B124" s="46" t="b">
        <f aca="false">FALSE()</f>
        <v>0</v>
      </c>
      <c r="C124" s="47" t="n">
        <v>49111</v>
      </c>
      <c r="D124" s="48" t="n">
        <f aca="false">C124-C123</f>
        <v>31</v>
      </c>
      <c r="E124" s="49" t="n">
        <v>105</v>
      </c>
      <c r="F124" s="50" t="n">
        <f aca="false">IF(U123&gt;0, U123, 0)</f>
        <v>47787.2886357234</v>
      </c>
      <c r="G124" s="50" t="n">
        <f aca="false">IF(AND(V123&lt;&gt;"", V123&lt;$F$7), V123, G123)</f>
        <v>840.1</v>
      </c>
      <c r="H124" s="50" t="n">
        <f aca="false">IF(F124&gt;$F$7, ($G$2*($F$12/12)), 0)</f>
        <v>43.03125</v>
      </c>
      <c r="I124" s="50" t="n">
        <v>0</v>
      </c>
      <c r="J124" s="51" t="n">
        <f aca="false">IF(G124 = 0, 0, (H124+I124)/G124)</f>
        <v>0.0512215807641947</v>
      </c>
      <c r="K124" s="52" t="n">
        <f aca="false">G124</f>
        <v>840.1</v>
      </c>
      <c r="L124" s="50" t="n">
        <v>0</v>
      </c>
      <c r="M124" s="50" t="n">
        <f aca="false">IF(F124&gt;K124,K124-G124-N124+L124,0)</f>
        <v>0</v>
      </c>
      <c r="N124" s="50" t="n">
        <v>0</v>
      </c>
      <c r="O124" s="50" t="n">
        <f aca="false">(G124-R124-I124-H124)</f>
        <v>479.704638089906</v>
      </c>
      <c r="P124" s="51" t="n">
        <f aca="false">IF(G124 = 0, 0 , (O124/G124))</f>
        <v>0.571008972848359</v>
      </c>
      <c r="Q124" s="50" t="n">
        <f aca="false">SUM(L124:O124)</f>
        <v>479.704638089906</v>
      </c>
      <c r="R124" s="50" t="n">
        <f aca="false">F124*((1+$F$4)^(D124/360)-1)</f>
        <v>317.364111910094</v>
      </c>
      <c r="S124" s="51" t="n">
        <f aca="false">R124/G124</f>
        <v>0.377769446387446</v>
      </c>
      <c r="T124" s="50" t="n">
        <f aca="false">L124+M124+O124+R124+H124+I124</f>
        <v>840.1</v>
      </c>
      <c r="U124" s="50" t="n">
        <f aca="false">F124-O124-M124-L124</f>
        <v>47307.5839976335</v>
      </c>
      <c r="V124" s="2" t="str">
        <f aca="false">IF(M124&gt;0, ROUND(PMT($F$9,$F$10-E124-2,-U124)+$G$2*$F$12/12, 2), "")</f>
        <v/>
      </c>
      <c r="W124" s="2"/>
      <c r="X124" s="2" t="e">
        <f aca="false">IF(V124 &gt; 0, (G124-V124), 0)</f>
        <v>#VALUE!</v>
      </c>
      <c r="Y124" s="2" t="e">
        <f aca="false">X124*(180-E124)-M124</f>
        <v>#VALUE!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5.75" hidden="false" customHeight="true" outlineLevel="0" collapsed="false">
      <c r="A125" s="45" t="s">
        <v>66</v>
      </c>
      <c r="B125" s="46" t="b">
        <f aca="false">FALSE()</f>
        <v>0</v>
      </c>
      <c r="C125" s="47" t="n">
        <v>49141</v>
      </c>
      <c r="D125" s="48" t="n">
        <f aca="false">C125-C124</f>
        <v>30</v>
      </c>
      <c r="E125" s="49" t="n">
        <v>106</v>
      </c>
      <c r="F125" s="50" t="n">
        <f aca="false">IF(U124&gt;0, U124, 0)</f>
        <v>47307.5839976335</v>
      </c>
      <c r="G125" s="50" t="n">
        <f aca="false">IF(AND(V124&lt;&gt;"", V124&lt;$F$7), V124, G124)</f>
        <v>840.1</v>
      </c>
      <c r="H125" s="50" t="n">
        <f aca="false">IF(F125&gt;$F$7, ($G$2*($F$12/12)), 0)</f>
        <v>43.03125</v>
      </c>
      <c r="I125" s="50" t="n">
        <v>0</v>
      </c>
      <c r="J125" s="51" t="n">
        <f aca="false">IF(G125 = 0, 0, (H125+I125)/G125)</f>
        <v>0.0512215807641947</v>
      </c>
      <c r="K125" s="52" t="n">
        <f aca="false">G125</f>
        <v>840.1</v>
      </c>
      <c r="L125" s="50" t="n">
        <v>0</v>
      </c>
      <c r="M125" s="50" t="n">
        <f aca="false">IF(F125&gt;K125,K125-G125-N125+L125,0)</f>
        <v>0</v>
      </c>
      <c r="N125" s="50" t="n">
        <v>0</v>
      </c>
      <c r="O125" s="50" t="n">
        <f aca="false">(G125-R125-I125-H125)</f>
        <v>493.05772197267</v>
      </c>
      <c r="P125" s="51" t="n">
        <f aca="false">IF(G125 = 0, 0 , (O125/G125))</f>
        <v>0.586903609061624</v>
      </c>
      <c r="Q125" s="50" t="n">
        <f aca="false">SUM(L125:O125)</f>
        <v>493.05772197267</v>
      </c>
      <c r="R125" s="50" t="n">
        <f aca="false">F125*((1+$F$4)^(D125/360)-1)</f>
        <v>304.01102802733</v>
      </c>
      <c r="S125" s="51" t="n">
        <f aca="false">R125/G125</f>
        <v>0.361874810174181</v>
      </c>
      <c r="T125" s="50" t="n">
        <f aca="false">L125+M125+O125+R125+H125+I125</f>
        <v>840.1</v>
      </c>
      <c r="U125" s="50" t="n">
        <f aca="false">F125-O125-M125-L125</f>
        <v>46814.5262756608</v>
      </c>
      <c r="V125" s="2" t="str">
        <f aca="false">IF(M125&gt;0, ROUND(PMT($F$9,$F$10-E125-2,-U125)+$G$2*$F$12/12, 2), "")</f>
        <v/>
      </c>
      <c r="W125" s="2"/>
      <c r="X125" s="2" t="e">
        <f aca="false">IF(V125 &gt; 0, (G125-V125), 0)</f>
        <v>#VALUE!</v>
      </c>
      <c r="Y125" s="2" t="e">
        <f aca="false">X125*(180-E125)-M125</f>
        <v>#VALUE!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5.75" hidden="false" customHeight="true" outlineLevel="0" collapsed="false">
      <c r="A126" s="45" t="s">
        <v>66</v>
      </c>
      <c r="B126" s="46" t="b">
        <f aca="false">FALSE()</f>
        <v>0</v>
      </c>
      <c r="C126" s="47" t="n">
        <v>49172</v>
      </c>
      <c r="D126" s="48" t="n">
        <f aca="false">C126-C125</f>
        <v>31</v>
      </c>
      <c r="E126" s="49" t="n">
        <v>107</v>
      </c>
      <c r="F126" s="50" t="n">
        <f aca="false">IF(U125&gt;0, U125, 0)</f>
        <v>46814.5262756608</v>
      </c>
      <c r="G126" s="50" t="n">
        <f aca="false">IF(AND(V125&lt;&gt;"", V125&lt;$F$7), V125, G125)</f>
        <v>840.1</v>
      </c>
      <c r="H126" s="50" t="n">
        <f aca="false">IF(F126&gt;$F$7, ($G$2*($F$12/12)), 0)</f>
        <v>43.03125</v>
      </c>
      <c r="I126" s="50" t="n">
        <v>0</v>
      </c>
      <c r="J126" s="51" t="n">
        <f aca="false">IF(G126 = 0, 0, (H126+I126)/G126)</f>
        <v>0.0512215807641947</v>
      </c>
      <c r="K126" s="52" t="n">
        <f aca="false">G126</f>
        <v>840.1</v>
      </c>
      <c r="L126" s="50" t="n">
        <v>0</v>
      </c>
      <c r="M126" s="50" t="n">
        <f aca="false">IF(F126&gt;K126,K126-G126-N126+L126,0)</f>
        <v>0</v>
      </c>
      <c r="N126" s="50" t="n">
        <v>0</v>
      </c>
      <c r="O126" s="50" t="n">
        <f aca="false">(G126-R126-I126-H126)</f>
        <v>486.164930592671</v>
      </c>
      <c r="P126" s="51" t="n">
        <f aca="false">IF(G126 = 0, 0 , (O126/G126))</f>
        <v>0.578698881791062</v>
      </c>
      <c r="Q126" s="50" t="n">
        <f aca="false">SUM(L126:O126)</f>
        <v>486.164930592671</v>
      </c>
      <c r="R126" s="50" t="n">
        <f aca="false">F126*((1+$F$4)^(D126/360)-1)</f>
        <v>310.903819407329</v>
      </c>
      <c r="S126" s="51" t="n">
        <f aca="false">R126/G126</f>
        <v>0.370079537444743</v>
      </c>
      <c r="T126" s="50" t="n">
        <f aca="false">L126+M126+O126+R126+H126+I126</f>
        <v>840.1</v>
      </c>
      <c r="U126" s="50" t="n">
        <f aca="false">F126-O126-M126-L126</f>
        <v>46328.3613450681</v>
      </c>
      <c r="V126" s="2" t="str">
        <f aca="false">IF(M126&gt;0, ROUND(PMT($F$9,$F$10-E126-2,-U126)+$G$2*$F$12/12, 2), "")</f>
        <v/>
      </c>
      <c r="W126" s="2"/>
      <c r="X126" s="2" t="e">
        <f aca="false">IF(V126 &gt; 0, (G126-V126), 0)</f>
        <v>#VALUE!</v>
      </c>
      <c r="Y126" s="2" t="e">
        <f aca="false">X126*(180-E126)-M126</f>
        <v>#VALUE!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5.75" hidden="false" customHeight="true" outlineLevel="0" collapsed="false">
      <c r="A127" s="45" t="s">
        <v>66</v>
      </c>
      <c r="B127" s="46" t="b">
        <f aca="false">FALSE()</f>
        <v>0</v>
      </c>
      <c r="C127" s="47" t="n">
        <v>49203</v>
      </c>
      <c r="D127" s="48" t="n">
        <f aca="false">C127-C126</f>
        <v>31</v>
      </c>
      <c r="E127" s="49" t="n">
        <v>108</v>
      </c>
      <c r="F127" s="50" t="n">
        <f aca="false">IF(U126&gt;0, U126, 0)</f>
        <v>46328.3613450681</v>
      </c>
      <c r="G127" s="50" t="n">
        <f aca="false">IF(AND(V126&lt;&gt;"", V126&lt;$F$7), V126, G126)</f>
        <v>840.1</v>
      </c>
      <c r="H127" s="50" t="n">
        <f aca="false">IF(F127&gt;$F$7, ($G$2*($F$12/12)), 0)</f>
        <v>43.03125</v>
      </c>
      <c r="I127" s="50" t="n">
        <v>0</v>
      </c>
      <c r="J127" s="51" t="n">
        <f aca="false">IF(G127 = 0, 0, (H127+I127)/G127)</f>
        <v>0.0512215807641947</v>
      </c>
      <c r="K127" s="52" t="n">
        <f aca="false">G127</f>
        <v>840.1</v>
      </c>
      <c r="L127" s="50" t="n">
        <v>0</v>
      </c>
      <c r="M127" s="50" t="n">
        <f aca="false">IF(F127&gt;K127,K127-G127-N127+L127,0)</f>
        <v>0</v>
      </c>
      <c r="N127" s="50" t="n">
        <v>0</v>
      </c>
      <c r="O127" s="50" t="n">
        <f aca="false">(G127-R127-I127-H127)</f>
        <v>489.393640692035</v>
      </c>
      <c r="P127" s="51" t="n">
        <f aca="false">IF(G127 = 0, 0 , (O127/G127))</f>
        <v>0.582542126761142</v>
      </c>
      <c r="Q127" s="50" t="n">
        <f aca="false">SUM(L127:O127)</f>
        <v>489.393640692035</v>
      </c>
      <c r="R127" s="50" t="n">
        <f aca="false">F127*((1+$F$4)^(D127/360)-1)</f>
        <v>307.675109307965</v>
      </c>
      <c r="S127" s="51" t="n">
        <f aca="false">R127/G127</f>
        <v>0.366236292474663</v>
      </c>
      <c r="T127" s="50" t="n">
        <f aca="false">L127+M127+O127+R127+H127+I127</f>
        <v>840.1</v>
      </c>
      <c r="U127" s="50" t="n">
        <f aca="false">F127-O127-M127-L127</f>
        <v>45838.9677043761</v>
      </c>
      <c r="V127" s="2" t="str">
        <f aca="false">IF(M127&gt;0, ROUND(PMT($F$9,$F$10-E127-2,-U127)+$G$2*$F$12/12, 2), "")</f>
        <v/>
      </c>
      <c r="W127" s="2"/>
      <c r="X127" s="2" t="e">
        <f aca="false">IF(V127 &gt; 0, (G127-V127), 0)</f>
        <v>#VALUE!</v>
      </c>
      <c r="Y127" s="2" t="e">
        <f aca="false">X127*(180-E127)-M127</f>
        <v>#VALUE!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5.75" hidden="false" customHeight="true" outlineLevel="0" collapsed="false">
      <c r="A128" s="45" t="s">
        <v>66</v>
      </c>
      <c r="B128" s="46" t="b">
        <f aca="false">FALSE()</f>
        <v>0</v>
      </c>
      <c r="C128" s="47" t="n">
        <v>49233</v>
      </c>
      <c r="D128" s="48" t="n">
        <f aca="false">C128-C127</f>
        <v>30</v>
      </c>
      <c r="E128" s="49" t="n">
        <v>109</v>
      </c>
      <c r="F128" s="50" t="n">
        <f aca="false">IF(U127&gt;0, U127, 0)</f>
        <v>45838.9677043761</v>
      </c>
      <c r="G128" s="50" t="n">
        <f aca="false">IF(AND(V127&lt;&gt;"", V127&lt;$F$7), V127, G127)</f>
        <v>840.1</v>
      </c>
      <c r="H128" s="50" t="n">
        <f aca="false">IF(F128&gt;$F$7, ($G$2*($F$12/12)), 0)</f>
        <v>43.03125</v>
      </c>
      <c r="I128" s="50" t="n">
        <v>0</v>
      </c>
      <c r="J128" s="51" t="n">
        <f aca="false">IF(G128 = 0, 0, (H128+I128)/G128)</f>
        <v>0.0512215807641947</v>
      </c>
      <c r="K128" s="52" t="n">
        <f aca="false">G128</f>
        <v>840.1</v>
      </c>
      <c r="L128" s="50" t="n">
        <v>0</v>
      </c>
      <c r="M128" s="50" t="n">
        <f aca="false">IF(F128&gt;K128,K128-G128-N128+L128,0)</f>
        <v>0</v>
      </c>
      <c r="N128" s="50" t="n">
        <v>0</v>
      </c>
      <c r="O128" s="50" t="n">
        <f aca="false">(G128-R128-I128-H128)</f>
        <v>502.495438113769</v>
      </c>
      <c r="P128" s="51" t="n">
        <f aca="false">IF(G128 = 0, 0 , (O128/G128))</f>
        <v>0.598137648034483</v>
      </c>
      <c r="Q128" s="50" t="n">
        <f aca="false">SUM(L128:O128)</f>
        <v>502.495438113769</v>
      </c>
      <c r="R128" s="50" t="n">
        <f aca="false">F128*((1+$F$4)^(D128/360)-1)</f>
        <v>294.573311886231</v>
      </c>
      <c r="S128" s="51" t="n">
        <f aca="false">R128/G128</f>
        <v>0.350640771201322</v>
      </c>
      <c r="T128" s="50" t="n">
        <f aca="false">L128+M128+O128+R128+H128+I128</f>
        <v>840.1</v>
      </c>
      <c r="U128" s="50" t="n">
        <f aca="false">F128-O128-M128-L128</f>
        <v>45336.4722662623</v>
      </c>
      <c r="V128" s="2" t="str">
        <f aca="false">IF(M128&gt;0, ROUND(PMT($F$9,$F$10-E128-2,-U128)+$G$2*$F$12/12, 2), "")</f>
        <v/>
      </c>
      <c r="W128" s="2"/>
      <c r="X128" s="2" t="e">
        <f aca="false">IF(V128 &gt; 0, (G128-V128), 0)</f>
        <v>#VALUE!</v>
      </c>
      <c r="Y128" s="2" t="e">
        <f aca="false">X128*(180-E128)-M128</f>
        <v>#VALUE!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5.75" hidden="false" customHeight="true" outlineLevel="0" collapsed="false">
      <c r="A129" s="45" t="s">
        <v>66</v>
      </c>
      <c r="B129" s="46" t="b">
        <f aca="false">FALSE()</f>
        <v>0</v>
      </c>
      <c r="C129" s="47" t="n">
        <v>49264</v>
      </c>
      <c r="D129" s="48" t="n">
        <f aca="false">C129-C128</f>
        <v>31</v>
      </c>
      <c r="E129" s="49" t="n">
        <v>110</v>
      </c>
      <c r="F129" s="50" t="n">
        <f aca="false">IF(U128&gt;0, U128, 0)</f>
        <v>45336.4722662623</v>
      </c>
      <c r="G129" s="50" t="n">
        <f aca="false">IF(AND(V128&lt;&gt;"", V128&lt;$F$7), V128, G128)</f>
        <v>840.1</v>
      </c>
      <c r="H129" s="50" t="n">
        <f aca="false">IF(F129&gt;$F$7, ($G$2*($F$12/12)), 0)</f>
        <v>43.03125</v>
      </c>
      <c r="I129" s="50" t="n">
        <v>0</v>
      </c>
      <c r="J129" s="51" t="n">
        <f aca="false">IF(G129 = 0, 0, (H129+I129)/G129)</f>
        <v>0.0512215807641947</v>
      </c>
      <c r="K129" s="52" t="n">
        <f aca="false">G129</f>
        <v>840.1</v>
      </c>
      <c r="L129" s="50" t="n">
        <v>0</v>
      </c>
      <c r="M129" s="50" t="n">
        <f aca="false">IF(F129&gt;K129,K129-G129-N129+L129,0)</f>
        <v>0</v>
      </c>
      <c r="N129" s="50" t="n">
        <v>0</v>
      </c>
      <c r="O129" s="50" t="n">
        <f aca="false">(G129-R129-I129-H129)</f>
        <v>495.980957227362</v>
      </c>
      <c r="P129" s="51" t="n">
        <f aca="false">IF(G129 = 0, 0 , (O129/G129))</f>
        <v>0.590383236790099</v>
      </c>
      <c r="Q129" s="50" t="n">
        <f aca="false">SUM(L129:O129)</f>
        <v>495.980957227362</v>
      </c>
      <c r="R129" s="50" t="n">
        <f aca="false">F129*((1+$F$4)^(D129/360)-1)</f>
        <v>301.087792772638</v>
      </c>
      <c r="S129" s="51" t="n">
        <f aca="false">R129/G129</f>
        <v>0.358395182445707</v>
      </c>
      <c r="T129" s="50" t="n">
        <f aca="false">L129+M129+O129+R129+H129+I129</f>
        <v>840.1</v>
      </c>
      <c r="U129" s="50" t="n">
        <f aca="false">F129-O129-M129-L129</f>
        <v>44840.491309035</v>
      </c>
      <c r="V129" s="2" t="str">
        <f aca="false">IF(M129&gt;0, ROUND(PMT($F$9,$F$10-E129-2,-U129)+$G$2*$F$12/12, 2), "")</f>
        <v/>
      </c>
      <c r="W129" s="2"/>
      <c r="X129" s="2" t="e">
        <f aca="false">IF(V129 &gt; 0, (G129-V129), 0)</f>
        <v>#VALUE!</v>
      </c>
      <c r="Y129" s="2" t="e">
        <f aca="false">X129*(180-E129)-M129</f>
        <v>#VALUE!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5.75" hidden="false" customHeight="true" outlineLevel="0" collapsed="false">
      <c r="A130" s="45" t="s">
        <v>66</v>
      </c>
      <c r="B130" s="46" t="b">
        <f aca="false">FALSE()</f>
        <v>0</v>
      </c>
      <c r="C130" s="47" t="n">
        <v>49294</v>
      </c>
      <c r="D130" s="48" t="n">
        <f aca="false">C130-C129</f>
        <v>30</v>
      </c>
      <c r="E130" s="49" t="n">
        <v>111</v>
      </c>
      <c r="F130" s="50" t="n">
        <f aca="false">IF(U129&gt;0, U129, 0)</f>
        <v>44840.491309035</v>
      </c>
      <c r="G130" s="50" t="n">
        <f aca="false">IF(AND(V129&lt;&gt;"", V129&lt;$F$7), V129, G129)</f>
        <v>840.1</v>
      </c>
      <c r="H130" s="50" t="n">
        <f aca="false">IF(F130&gt;$F$7, ($G$2*($F$12/12)), 0)</f>
        <v>43.03125</v>
      </c>
      <c r="I130" s="50" t="n">
        <v>0</v>
      </c>
      <c r="J130" s="51" t="n">
        <f aca="false">IF(G130 = 0, 0, (H130+I130)/G130)</f>
        <v>0.0512215807641947</v>
      </c>
      <c r="K130" s="52" t="n">
        <f aca="false">G130</f>
        <v>840.1</v>
      </c>
      <c r="L130" s="50" t="n">
        <v>0</v>
      </c>
      <c r="M130" s="50" t="n">
        <f aca="false">IF(F130&gt;K130,K130-G130-N130+L130,0)</f>
        <v>0</v>
      </c>
      <c r="N130" s="50" t="n">
        <v>0</v>
      </c>
      <c r="O130" s="50" t="n">
        <f aca="false">(G130-R130-I130-H130)</f>
        <v>508.911911113614</v>
      </c>
      <c r="P130" s="51" t="n">
        <f aca="false">IF(G130 = 0, 0 , (O130/G130))</f>
        <v>0.605775397111789</v>
      </c>
      <c r="Q130" s="50" t="n">
        <f aca="false">SUM(L130:O130)</f>
        <v>508.911911113614</v>
      </c>
      <c r="R130" s="50" t="n">
        <f aca="false">F130*((1+$F$4)^(D130/360)-1)</f>
        <v>288.156838886386</v>
      </c>
      <c r="S130" s="51" t="n">
        <f aca="false">R130/G130</f>
        <v>0.343003022124017</v>
      </c>
      <c r="T130" s="50" t="n">
        <f aca="false">L130+M130+O130+R130+H130+I130</f>
        <v>840.1</v>
      </c>
      <c r="U130" s="50" t="n">
        <f aca="false">F130-O130-M130-L130</f>
        <v>44331.5793979213</v>
      </c>
      <c r="V130" s="2" t="str">
        <f aca="false">IF(M130&gt;0, ROUND(PMT($F$9,$F$10-E130-2,-U130)+$G$2*$F$12/12, 2), "")</f>
        <v/>
      </c>
      <c r="W130" s="2"/>
      <c r="X130" s="2" t="e">
        <f aca="false">IF(V130 &gt; 0, (G130-V130), 0)</f>
        <v>#VALUE!</v>
      </c>
      <c r="Y130" s="2" t="e">
        <f aca="false">X130*(180-E130)-M130</f>
        <v>#VALUE!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5.75" hidden="false" customHeight="true" outlineLevel="0" collapsed="false">
      <c r="A131" s="45" t="s">
        <v>66</v>
      </c>
      <c r="B131" s="46" t="b">
        <f aca="false">FALSE()</f>
        <v>0</v>
      </c>
      <c r="C131" s="47" t="n">
        <v>49325</v>
      </c>
      <c r="D131" s="48" t="n">
        <f aca="false">C131-C130</f>
        <v>31</v>
      </c>
      <c r="E131" s="49" t="n">
        <v>112</v>
      </c>
      <c r="F131" s="50" t="n">
        <f aca="false">IF(U130&gt;0, U130, 0)</f>
        <v>44331.5793979213</v>
      </c>
      <c r="G131" s="50" t="n">
        <f aca="false">IF(AND(V130&lt;&gt;"", V130&lt;$F$7), V130, G130)</f>
        <v>840.1</v>
      </c>
      <c r="H131" s="50" t="n">
        <f aca="false">IF(F131&gt;$F$7, ($G$2*($F$12/12)), 0)</f>
        <v>43.03125</v>
      </c>
      <c r="I131" s="50" t="n">
        <v>0</v>
      </c>
      <c r="J131" s="51" t="n">
        <f aca="false">IF(G131 = 0, 0, (H131+I131)/G131)</f>
        <v>0.0512215807641947</v>
      </c>
      <c r="K131" s="52" t="n">
        <f aca="false">G131</f>
        <v>840.1</v>
      </c>
      <c r="L131" s="50" t="n">
        <v>0</v>
      </c>
      <c r="M131" s="50" t="n">
        <f aca="false">IF(F131&gt;K131,K131-G131-N131+L131,0)</f>
        <v>0</v>
      </c>
      <c r="N131" s="50" t="n">
        <v>0</v>
      </c>
      <c r="O131" s="50" t="n">
        <f aca="false">(G131-R131-I131-H131)</f>
        <v>502.654634304061</v>
      </c>
      <c r="P131" s="51" t="n">
        <f aca="false">IF(G131 = 0, 0 , (O131/G131))</f>
        <v>0.598327144749507</v>
      </c>
      <c r="Q131" s="50" t="n">
        <f aca="false">SUM(L131:O131)</f>
        <v>502.654634304061</v>
      </c>
      <c r="R131" s="50" t="n">
        <f aca="false">F131*((1+$F$4)^(D131/360)-1)</f>
        <v>294.414115695939</v>
      </c>
      <c r="S131" s="51" t="n">
        <f aca="false">R131/G131</f>
        <v>0.350451274486298</v>
      </c>
      <c r="T131" s="50" t="n">
        <f aca="false">L131+M131+O131+R131+H131+I131</f>
        <v>840.1</v>
      </c>
      <c r="U131" s="50" t="n">
        <f aca="false">F131-O131-M131-L131</f>
        <v>43828.9247636173</v>
      </c>
      <c r="V131" s="2" t="str">
        <f aca="false">IF(M131&gt;0, ROUND(PMT($F$9,$F$10-E131-2,-U131)+$G$2*$F$12/12, 2), "")</f>
        <v/>
      </c>
      <c r="W131" s="2"/>
      <c r="X131" s="2" t="e">
        <f aca="false">IF(V131 &gt; 0, (G131-V131), 0)</f>
        <v>#VALUE!</v>
      </c>
      <c r="Y131" s="2" t="e">
        <f aca="false">X131*(180-E131)-M131</f>
        <v>#VALUE!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5.75" hidden="false" customHeight="true" outlineLevel="0" collapsed="false">
      <c r="A132" s="45" t="s">
        <v>66</v>
      </c>
      <c r="B132" s="46" t="b">
        <f aca="false">FALSE()</f>
        <v>0</v>
      </c>
      <c r="C132" s="47" t="n">
        <v>49356</v>
      </c>
      <c r="D132" s="48" t="n">
        <f aca="false">C132-C131</f>
        <v>31</v>
      </c>
      <c r="E132" s="49" t="n">
        <v>113</v>
      </c>
      <c r="F132" s="50" t="n">
        <f aca="false">IF(U131&gt;0, U131, 0)</f>
        <v>43828.9247636173</v>
      </c>
      <c r="G132" s="50" t="n">
        <f aca="false">IF(AND(V131&lt;&gt;"", V131&lt;$F$7), V131, G131)</f>
        <v>840.1</v>
      </c>
      <c r="H132" s="50" t="n">
        <f aca="false">IF(F132&gt;$F$7, ($G$2*($F$12/12)), 0)</f>
        <v>43.03125</v>
      </c>
      <c r="I132" s="50" t="n">
        <v>0</v>
      </c>
      <c r="J132" s="51" t="n">
        <f aca="false">IF(G132 = 0, 0, (H132+I132)/G132)</f>
        <v>0.0512215807641947</v>
      </c>
      <c r="K132" s="52" t="n">
        <f aca="false">G132</f>
        <v>840.1</v>
      </c>
      <c r="L132" s="50" t="n">
        <v>0</v>
      </c>
      <c r="M132" s="50" t="n">
        <f aca="false">IF(F132&gt;K132,K132-G132-N132+L132,0)</f>
        <v>0</v>
      </c>
      <c r="N132" s="50" t="n">
        <v>0</v>
      </c>
      <c r="O132" s="50" t="n">
        <f aca="false">(G132-R132-I132-H132)</f>
        <v>505.992855537524</v>
      </c>
      <c r="P132" s="51" t="n">
        <f aca="false">IF(G132 = 0, 0 , (O132/G132))</f>
        <v>0.602300744598886</v>
      </c>
      <c r="Q132" s="50" t="n">
        <f aca="false">SUM(L132:O132)</f>
        <v>505.992855537524</v>
      </c>
      <c r="R132" s="50" t="n">
        <f aca="false">F132*((1+$F$4)^(D132/360)-1)</f>
        <v>291.075894462476</v>
      </c>
      <c r="S132" s="51" t="n">
        <f aca="false">R132/G132</f>
        <v>0.34647767463692</v>
      </c>
      <c r="T132" s="50" t="n">
        <f aca="false">L132+M132+O132+R132+H132+I132</f>
        <v>840.1</v>
      </c>
      <c r="U132" s="50" t="n">
        <f aca="false">F132-O132-M132-L132</f>
        <v>43322.9319080798</v>
      </c>
      <c r="V132" s="2" t="str">
        <f aca="false">IF(M132&gt;0, ROUND(PMT($F$9,$F$10-E132-2,-U132)+$G$2*$F$12/12, 2), "")</f>
        <v/>
      </c>
      <c r="W132" s="2"/>
      <c r="X132" s="2" t="e">
        <f aca="false">IF(V132 &gt; 0, (G132-V132), 0)</f>
        <v>#VALUE!</v>
      </c>
      <c r="Y132" s="2" t="e">
        <f aca="false">X132*(180-E132)-M132</f>
        <v>#VALUE!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customFormat="false" ht="15.75" hidden="false" customHeight="true" outlineLevel="0" collapsed="false">
      <c r="A133" s="45" t="s">
        <v>66</v>
      </c>
      <c r="B133" s="46" t="b">
        <f aca="false">FALSE()</f>
        <v>0</v>
      </c>
      <c r="C133" s="47" t="n">
        <v>49384</v>
      </c>
      <c r="D133" s="48" t="n">
        <f aca="false">C133-C132</f>
        <v>28</v>
      </c>
      <c r="E133" s="49" t="n">
        <v>114</v>
      </c>
      <c r="F133" s="50" t="n">
        <f aca="false">IF(U132&gt;0, U132, 0)</f>
        <v>43322.9319080798</v>
      </c>
      <c r="G133" s="50" t="n">
        <f aca="false">IF(AND(V132&lt;&gt;"", V132&lt;$F$7), V132, G132)</f>
        <v>840.1</v>
      </c>
      <c r="H133" s="50" t="n">
        <f aca="false">IF(F133&gt;$F$7, ($G$2*($F$12/12)), 0)</f>
        <v>43.03125</v>
      </c>
      <c r="I133" s="50" t="n">
        <v>0</v>
      </c>
      <c r="J133" s="51" t="n">
        <f aca="false">IF(G133 = 0, 0, (H133+I133)/G133)</f>
        <v>0.0512215807641947</v>
      </c>
      <c r="K133" s="52" t="n">
        <f aca="false">G133</f>
        <v>840.1</v>
      </c>
      <c r="L133" s="50" t="n">
        <v>0</v>
      </c>
      <c r="M133" s="50" t="n">
        <f aca="false">IF(F133&gt;K133,K133-G133-N133+L133,0)</f>
        <v>0</v>
      </c>
      <c r="N133" s="50" t="n">
        <v>0</v>
      </c>
      <c r="O133" s="50" t="n">
        <f aca="false">(G133-R133-I133-H133)</f>
        <v>537.279989527188</v>
      </c>
      <c r="P133" s="51" t="n">
        <f aca="false">IF(G133 = 0, 0 , (O133/G133))</f>
        <v>0.639542899091998</v>
      </c>
      <c r="Q133" s="50" t="n">
        <f aca="false">SUM(L133:O133)</f>
        <v>537.279989527188</v>
      </c>
      <c r="R133" s="50" t="n">
        <f aca="false">F133*((1+$F$4)^(D133/360)-1)</f>
        <v>259.788760472812</v>
      </c>
      <c r="S133" s="51" t="n">
        <f aca="false">R133/G133</f>
        <v>0.309235520143807</v>
      </c>
      <c r="T133" s="50" t="n">
        <f aca="false">L133+M133+O133+R133+H133+I133</f>
        <v>840.1</v>
      </c>
      <c r="U133" s="50" t="n">
        <f aca="false">F133-O133-M133-L133</f>
        <v>42785.6519185526</v>
      </c>
      <c r="V133" s="2" t="str">
        <f aca="false">IF(M133&gt;0, ROUND(PMT($F$9,$F$10-E133-2,-U133)+$G$2*$F$12/12, 2), "")</f>
        <v/>
      </c>
      <c r="W133" s="2"/>
      <c r="X133" s="2" t="e">
        <f aca="false">IF(V133 &gt; 0, (G133-V133), 0)</f>
        <v>#VALUE!</v>
      </c>
      <c r="Y133" s="2" t="e">
        <f aca="false">X133*(180-E133)-M133</f>
        <v>#VALUE!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5.75" hidden="false" customHeight="true" outlineLevel="0" collapsed="false">
      <c r="A134" s="45" t="s">
        <v>66</v>
      </c>
      <c r="B134" s="46" t="b">
        <f aca="false">FALSE()</f>
        <v>0</v>
      </c>
      <c r="C134" s="47" t="n">
        <v>49415</v>
      </c>
      <c r="D134" s="48" t="n">
        <f aca="false">C134-C133</f>
        <v>31</v>
      </c>
      <c r="E134" s="49" t="n">
        <v>115</v>
      </c>
      <c r="F134" s="50" t="n">
        <f aca="false">IF(U133&gt;0, U133, 0)</f>
        <v>42785.6519185526</v>
      </c>
      <c r="G134" s="50" t="n">
        <f aca="false">IF(AND(V133&lt;&gt;"", V133&lt;$F$7), V133, G133)</f>
        <v>840.1</v>
      </c>
      <c r="H134" s="50" t="n">
        <f aca="false">IF(F134&gt;$F$7, ($G$2*($F$12/12)), 0)</f>
        <v>43.03125</v>
      </c>
      <c r="I134" s="50" t="n">
        <v>0</v>
      </c>
      <c r="J134" s="51" t="n">
        <f aca="false">IF(G134 = 0, 0, (H134+I134)/G134)</f>
        <v>0.0512215807641947</v>
      </c>
      <c r="K134" s="52" t="n">
        <f aca="false">G134</f>
        <v>840.1</v>
      </c>
      <c r="L134" s="50" t="n">
        <v>0</v>
      </c>
      <c r="M134" s="50" t="n">
        <f aca="false">IF(F134&gt;K134,K134-G134-N134+L134,0)</f>
        <v>0</v>
      </c>
      <c r="N134" s="50" t="n">
        <v>0</v>
      </c>
      <c r="O134" s="50" t="n">
        <f aca="false">(G134-R134-I134-H134)</f>
        <v>512.921421049533</v>
      </c>
      <c r="P134" s="51" t="n">
        <f aca="false">IF(G134 = 0, 0 , (O134/G134))</f>
        <v>0.610548055052413</v>
      </c>
      <c r="Q134" s="50" t="n">
        <f aca="false">SUM(L134:O134)</f>
        <v>512.921421049533</v>
      </c>
      <c r="R134" s="50" t="n">
        <f aca="false">F134*((1+$F$4)^(D134/360)-1)</f>
        <v>284.147328950468</v>
      </c>
      <c r="S134" s="51" t="n">
        <f aca="false">R134/G134</f>
        <v>0.338230364183392</v>
      </c>
      <c r="T134" s="50" t="n">
        <f aca="false">L134+M134+O134+R134+H134+I134</f>
        <v>840.1</v>
      </c>
      <c r="U134" s="50" t="n">
        <f aca="false">F134-O134-M134-L134</f>
        <v>42272.730497503</v>
      </c>
      <c r="V134" s="2" t="str">
        <f aca="false">IF(M134&gt;0, ROUND(PMT($F$9,$F$10-E134-2,-U134)+$G$2*$F$12/12, 2), "")</f>
        <v/>
      </c>
      <c r="W134" s="2"/>
      <c r="X134" s="2" t="e">
        <f aca="false">IF(V134 &gt; 0, (G134-V134), 0)</f>
        <v>#VALUE!</v>
      </c>
      <c r="Y134" s="2" t="e">
        <f aca="false">X134*(180-E134)-M134</f>
        <v>#VALUE!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5.75" hidden="false" customHeight="true" outlineLevel="0" collapsed="false">
      <c r="A135" s="45" t="s">
        <v>66</v>
      </c>
      <c r="B135" s="46" t="b">
        <f aca="false">FALSE()</f>
        <v>0</v>
      </c>
      <c r="C135" s="47" t="n">
        <v>49445</v>
      </c>
      <c r="D135" s="48" t="n">
        <f aca="false">C135-C134</f>
        <v>30</v>
      </c>
      <c r="E135" s="49" t="n">
        <v>116</v>
      </c>
      <c r="F135" s="50" t="n">
        <f aca="false">IF(U134&gt;0, U134, 0)</f>
        <v>42272.730497503</v>
      </c>
      <c r="G135" s="50" t="n">
        <f aca="false">IF(AND(V134&lt;&gt;"", V134&lt;$F$7), V134, G134)</f>
        <v>840.1</v>
      </c>
      <c r="H135" s="50" t="n">
        <f aca="false">IF(F135&gt;$F$7, ($G$2*($F$12/12)), 0)</f>
        <v>43.03125</v>
      </c>
      <c r="I135" s="50" t="n">
        <v>0</v>
      </c>
      <c r="J135" s="51" t="n">
        <f aca="false">IF(G135 = 0, 0, (H135+I135)/G135)</f>
        <v>0.0512215807641947</v>
      </c>
      <c r="K135" s="52" t="n">
        <f aca="false">G135</f>
        <v>840.1</v>
      </c>
      <c r="L135" s="50" t="n">
        <v>0</v>
      </c>
      <c r="M135" s="50" t="n">
        <f aca="false">IF(F135&gt;K135,K135-G135-N135+L135,0)</f>
        <v>0</v>
      </c>
      <c r="N135" s="50" t="n">
        <v>0</v>
      </c>
      <c r="O135" s="50" t="n">
        <f aca="false">(G135-R135-I135-H135)</f>
        <v>525.413020197543</v>
      </c>
      <c r="P135" s="51" t="n">
        <f aca="false">IF(G135 = 0, 0 , (O135/G135))</f>
        <v>0.625417236278471</v>
      </c>
      <c r="Q135" s="50" t="n">
        <f aca="false">SUM(L135:O135)</f>
        <v>525.413020197543</v>
      </c>
      <c r="R135" s="50" t="n">
        <f aca="false">F135*((1+$F$4)^(D135/360)-1)</f>
        <v>271.655729802457</v>
      </c>
      <c r="S135" s="51" t="n">
        <f aca="false">R135/G135</f>
        <v>0.323361182957335</v>
      </c>
      <c r="T135" s="50" t="n">
        <f aca="false">L135+M135+O135+R135+H135+I135</f>
        <v>840.1</v>
      </c>
      <c r="U135" s="50" t="n">
        <f aca="false">F135-O135-M135-L135</f>
        <v>41747.3174773055</v>
      </c>
      <c r="V135" s="2" t="str">
        <f aca="false">IF(M135&gt;0, ROUND(PMT($F$9,$F$10-E135-2,-U135)+$G$2*$F$12/12, 2), "")</f>
        <v/>
      </c>
      <c r="W135" s="2"/>
      <c r="X135" s="2" t="e">
        <f aca="false">IF(V135 &gt; 0, (G135-V135), 0)</f>
        <v>#VALUE!</v>
      </c>
      <c r="Y135" s="2" t="e">
        <f aca="false">X135*(180-E135)-M135</f>
        <v>#VALUE!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5.75" hidden="false" customHeight="true" outlineLevel="0" collapsed="false">
      <c r="A136" s="45" t="s">
        <v>66</v>
      </c>
      <c r="B136" s="46" t="b">
        <f aca="false">FALSE()</f>
        <v>0</v>
      </c>
      <c r="C136" s="47" t="n">
        <v>49476</v>
      </c>
      <c r="D136" s="48" t="n">
        <f aca="false">C136-C135</f>
        <v>31</v>
      </c>
      <c r="E136" s="49" t="n">
        <v>117</v>
      </c>
      <c r="F136" s="50" t="n">
        <f aca="false">IF(U135&gt;0, U135, 0)</f>
        <v>41747.3174773055</v>
      </c>
      <c r="G136" s="50" t="n">
        <f aca="false">IF(AND(V135&lt;&gt;"", V135&lt;$F$7), V135, G135)</f>
        <v>840.1</v>
      </c>
      <c r="H136" s="50" t="n">
        <f aca="false">IF(F136&gt;$F$7, ($G$2*($F$12/12)), 0)</f>
        <v>43.03125</v>
      </c>
      <c r="I136" s="50" t="n">
        <v>0</v>
      </c>
      <c r="J136" s="51" t="n">
        <f aca="false">IF(G136 = 0, 0, (H136+I136)/G136)</f>
        <v>0.0512215807641947</v>
      </c>
      <c r="K136" s="52" t="n">
        <f aca="false">G136</f>
        <v>840.1</v>
      </c>
      <c r="L136" s="50" t="n">
        <v>0</v>
      </c>
      <c r="M136" s="50" t="n">
        <f aca="false">IF(F136&gt;K136,K136-G136-N136+L136,0)</f>
        <v>0</v>
      </c>
      <c r="N136" s="50" t="n">
        <v>0</v>
      </c>
      <c r="O136" s="50" t="n">
        <f aca="false">(G136-R136-I136-H136)</f>
        <v>519.817189719817</v>
      </c>
      <c r="P136" s="51" t="n">
        <f aca="false">IF(G136 = 0, 0 , (O136/G136))</f>
        <v>0.61875632629427</v>
      </c>
      <c r="Q136" s="50" t="n">
        <f aca="false">SUM(L136:O136)</f>
        <v>519.817189719817</v>
      </c>
      <c r="R136" s="50" t="n">
        <f aca="false">F136*((1+$F$4)^(D136/360)-1)</f>
        <v>277.251560280183</v>
      </c>
      <c r="S136" s="51" t="n">
        <f aca="false">R136/G136</f>
        <v>0.330022092941535</v>
      </c>
      <c r="T136" s="50" t="n">
        <f aca="false">L136+M136+O136+R136+H136+I136</f>
        <v>840.1</v>
      </c>
      <c r="U136" s="50" t="n">
        <f aca="false">F136-O136-M136-L136</f>
        <v>41227.5002875857</v>
      </c>
      <c r="V136" s="2" t="str">
        <f aca="false">IF(M136&gt;0, ROUND(PMT($F$9,$F$10-E136-2,-U136)+$G$2*$F$12/12, 2), "")</f>
        <v/>
      </c>
      <c r="W136" s="2"/>
      <c r="X136" s="2" t="e">
        <f aca="false">IF(V136 &gt; 0, (G136-V136), 0)</f>
        <v>#VALUE!</v>
      </c>
      <c r="Y136" s="2" t="e">
        <f aca="false">X136*(180-E136)-M136</f>
        <v>#VALUE!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5.75" hidden="false" customHeight="true" outlineLevel="0" collapsed="false">
      <c r="A137" s="45" t="s">
        <v>66</v>
      </c>
      <c r="B137" s="46" t="b">
        <f aca="false">FALSE()</f>
        <v>0</v>
      </c>
      <c r="C137" s="47" t="n">
        <v>49506</v>
      </c>
      <c r="D137" s="48" t="n">
        <f aca="false">C137-C136</f>
        <v>30</v>
      </c>
      <c r="E137" s="49" t="n">
        <v>118</v>
      </c>
      <c r="F137" s="50" t="n">
        <f aca="false">IF(U136&gt;0, U136, 0)</f>
        <v>41227.5002875857</v>
      </c>
      <c r="G137" s="50" t="n">
        <f aca="false">IF(AND(V136&lt;&gt;"", V136&lt;$F$7), V136, G136)</f>
        <v>840.1</v>
      </c>
      <c r="H137" s="50" t="n">
        <f aca="false">IF(F137&gt;$F$7, ($G$2*($F$12/12)), 0)</f>
        <v>43.03125</v>
      </c>
      <c r="I137" s="50" t="n">
        <v>0</v>
      </c>
      <c r="J137" s="51" t="n">
        <f aca="false">IF(G137 = 0, 0, (H137+I137)/G137)</f>
        <v>0.0512215807641947</v>
      </c>
      <c r="K137" s="52" t="n">
        <f aca="false">G137</f>
        <v>840.1</v>
      </c>
      <c r="L137" s="50" t="n">
        <v>0</v>
      </c>
      <c r="M137" s="50" t="n">
        <f aca="false">IF(F137&gt;K137,K137-G137-N137+L137,0)</f>
        <v>0</v>
      </c>
      <c r="N137" s="50" t="n">
        <v>0</v>
      </c>
      <c r="O137" s="50" t="n">
        <f aca="false">(G137-R137-I137-H137)</f>
        <v>532.12994555687</v>
      </c>
      <c r="P137" s="51" t="n">
        <f aca="false">IF(G137 = 0, 0 , (O137/G137))</f>
        <v>0.633412624160065</v>
      </c>
      <c r="Q137" s="50" t="n">
        <f aca="false">SUM(L137:O137)</f>
        <v>532.12994555687</v>
      </c>
      <c r="R137" s="50" t="n">
        <f aca="false">F137*((1+$F$4)^(D137/360)-1)</f>
        <v>264.93880444313</v>
      </c>
      <c r="S137" s="51" t="n">
        <f aca="false">R137/G137</f>
        <v>0.315365795075741</v>
      </c>
      <c r="T137" s="50" t="n">
        <f aca="false">L137+M137+O137+R137+H137+I137</f>
        <v>840.1</v>
      </c>
      <c r="U137" s="50" t="n">
        <f aca="false">F137-O137-M137-L137</f>
        <v>40695.3703420288</v>
      </c>
      <c r="V137" s="2" t="str">
        <f aca="false">IF(M137&gt;0, ROUND(PMT($F$9,$F$10-E137-2,-U137)+$G$2*$F$12/12, 2), "")</f>
        <v/>
      </c>
      <c r="W137" s="2"/>
      <c r="X137" s="2" t="e">
        <f aca="false">IF(V137 &gt; 0, (G137-V137), 0)</f>
        <v>#VALUE!</v>
      </c>
      <c r="Y137" s="2" t="e">
        <f aca="false">X137*(180-E137)-M137</f>
        <v>#VALUE!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5.75" hidden="false" customHeight="true" outlineLevel="0" collapsed="false">
      <c r="A138" s="45" t="s">
        <v>66</v>
      </c>
      <c r="B138" s="46" t="b">
        <f aca="false">FALSE()</f>
        <v>0</v>
      </c>
      <c r="C138" s="47" t="n">
        <v>49537</v>
      </c>
      <c r="D138" s="48" t="n">
        <f aca="false">C138-C137</f>
        <v>31</v>
      </c>
      <c r="E138" s="49" t="n">
        <v>119</v>
      </c>
      <c r="F138" s="50" t="n">
        <f aca="false">IF(U137&gt;0, U137, 0)</f>
        <v>40695.3703420288</v>
      </c>
      <c r="G138" s="50" t="n">
        <f aca="false">IF(AND(V137&lt;&gt;"", V137&lt;$F$7), V137, G137)</f>
        <v>840.1</v>
      </c>
      <c r="H138" s="50" t="n">
        <f aca="false">IF(F138&gt;$F$7, ($G$2*($F$12/12)), 0)</f>
        <v>43.03125</v>
      </c>
      <c r="I138" s="50" t="n">
        <v>0</v>
      </c>
      <c r="J138" s="51" t="n">
        <f aca="false">IF(G138 = 0, 0, (H138+I138)/G138)</f>
        <v>0.0512215807641947</v>
      </c>
      <c r="K138" s="52" t="n">
        <f aca="false">G138</f>
        <v>840.1</v>
      </c>
      <c r="L138" s="50" t="n">
        <v>0</v>
      </c>
      <c r="M138" s="50" t="n">
        <f aca="false">IF(F138&gt;K138,K138-G138-N138+L138,0)</f>
        <v>0</v>
      </c>
      <c r="N138" s="50" t="n">
        <v>0</v>
      </c>
      <c r="O138" s="50" t="n">
        <f aca="false">(G138-R138-I138-H138)</f>
        <v>526.803362777433</v>
      </c>
      <c r="P138" s="51" t="n">
        <f aca="false">IF(G138 = 0, 0 , (O138/G138))</f>
        <v>0.627072208995874</v>
      </c>
      <c r="Q138" s="50" t="n">
        <f aca="false">SUM(L138:O138)</f>
        <v>526.803362777433</v>
      </c>
      <c r="R138" s="50" t="n">
        <f aca="false">F138*((1+$F$4)^(D138/360)-1)</f>
        <v>270.265387222567</v>
      </c>
      <c r="S138" s="51" t="n">
        <f aca="false">R138/G138</f>
        <v>0.321706210239932</v>
      </c>
      <c r="T138" s="50" t="n">
        <f aca="false">L138+M138+O138+R138+H138+I138</f>
        <v>840.1</v>
      </c>
      <c r="U138" s="50" t="n">
        <f aca="false">F138-O138-M138-L138</f>
        <v>40168.5669792514</v>
      </c>
      <c r="V138" s="2" t="str">
        <f aca="false">IF(M138&gt;0, ROUND(PMT($F$9,$F$10-E138-2,-U138)+$G$2*$F$12/12, 2), "")</f>
        <v/>
      </c>
      <c r="W138" s="2"/>
      <c r="X138" s="2" t="e">
        <f aca="false">IF(V138 &gt; 0, (G138-V138), 0)</f>
        <v>#VALUE!</v>
      </c>
      <c r="Y138" s="2" t="e">
        <f aca="false">X138*(180-E138)-M138</f>
        <v>#VALUE!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customFormat="false" ht="15.75" hidden="false" customHeight="true" outlineLevel="0" collapsed="false">
      <c r="A139" s="45" t="s">
        <v>66</v>
      </c>
      <c r="B139" s="46" t="b">
        <f aca="false">FALSE()</f>
        <v>0</v>
      </c>
      <c r="C139" s="47" t="n">
        <v>49568</v>
      </c>
      <c r="D139" s="48" t="n">
        <f aca="false">C139-C138</f>
        <v>31</v>
      </c>
      <c r="E139" s="49" t="n">
        <v>120</v>
      </c>
      <c r="F139" s="50" t="n">
        <f aca="false">IF(U138&gt;0, U138, 0)</f>
        <v>40168.5669792514</v>
      </c>
      <c r="G139" s="50" t="n">
        <f aca="false">IF(AND(V138&lt;&gt;"", V138&lt;$F$7), V138, G138)</f>
        <v>840.1</v>
      </c>
      <c r="H139" s="50" t="n">
        <f aca="false">IF(F139&gt;$F$7, ($G$2*($F$12/12)), 0)</f>
        <v>43.03125</v>
      </c>
      <c r="I139" s="50" t="n">
        <v>0</v>
      </c>
      <c r="J139" s="51" t="n">
        <f aca="false">IF(G139 = 0, 0, (H139+I139)/G139)</f>
        <v>0.0512215807641947</v>
      </c>
      <c r="K139" s="52" t="n">
        <f aca="false">G139</f>
        <v>840.1</v>
      </c>
      <c r="L139" s="50" t="n">
        <v>0</v>
      </c>
      <c r="M139" s="50" t="n">
        <f aca="false">IF(F139&gt;K139,K139-G139-N139+L139,0)</f>
        <v>0</v>
      </c>
      <c r="N139" s="50" t="n">
        <v>0</v>
      </c>
      <c r="O139" s="50" t="n">
        <f aca="false">(G139-R139-I139-H139)</f>
        <v>530.301960127318</v>
      </c>
      <c r="P139" s="51" t="n">
        <f aca="false">IF(G139 = 0, 0 , (O139/G139))</f>
        <v>0.631236710067037</v>
      </c>
      <c r="Q139" s="50" t="n">
        <f aca="false">SUM(L139:O139)</f>
        <v>530.301960127318</v>
      </c>
      <c r="R139" s="50" t="n">
        <f aca="false">F139*((1+$F$4)^(D139/360)-1)</f>
        <v>266.766789872682</v>
      </c>
      <c r="S139" s="51" t="n">
        <f aca="false">R139/G139</f>
        <v>0.317541709168768</v>
      </c>
      <c r="T139" s="50" t="n">
        <f aca="false">L139+M139+O139+R139+H139+I139</f>
        <v>840.1</v>
      </c>
      <c r="U139" s="50" t="n">
        <f aca="false">F139-O139-M139-L139</f>
        <v>39638.265019124</v>
      </c>
      <c r="V139" s="2" t="str">
        <f aca="false">IF(M139&gt;0, ROUND(PMT($F$9,$F$10-E139-2,-U139)+$G$2*$F$12/12, 2), "")</f>
        <v/>
      </c>
      <c r="W139" s="2"/>
      <c r="X139" s="2" t="e">
        <f aca="false">IF(V139 &gt; 0, (G139-V139), 0)</f>
        <v>#VALUE!</v>
      </c>
      <c r="Y139" s="2" t="e">
        <f aca="false">X139*(180-E139)-M139</f>
        <v>#VALUE!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5.75" hidden="false" customHeight="true" outlineLevel="0" collapsed="false">
      <c r="A140" s="45" t="s">
        <v>66</v>
      </c>
      <c r="B140" s="46" t="b">
        <f aca="false">FALSE()</f>
        <v>0</v>
      </c>
      <c r="C140" s="47" t="n">
        <v>49598</v>
      </c>
      <c r="D140" s="48" t="n">
        <f aca="false">C140-C139</f>
        <v>30</v>
      </c>
      <c r="E140" s="49" t="n">
        <v>121</v>
      </c>
      <c r="F140" s="50" t="n">
        <f aca="false">IF(U139&gt;0, U139, 0)</f>
        <v>39638.265019124</v>
      </c>
      <c r="G140" s="50" t="n">
        <f aca="false">IF(AND(V139&lt;&gt;"", V139&lt;$F$7), V139, G139)</f>
        <v>840.1</v>
      </c>
      <c r="H140" s="50" t="n">
        <f aca="false">IF(F140&gt;$F$7, ($G$2*($F$12/12)), 0)</f>
        <v>43.03125</v>
      </c>
      <c r="I140" s="50" t="n">
        <v>0</v>
      </c>
      <c r="J140" s="51" t="n">
        <f aca="false">IF(G140 = 0, 0, (H140+I140)/G140)</f>
        <v>0.0512215807641947</v>
      </c>
      <c r="K140" s="52" t="n">
        <f aca="false">G140</f>
        <v>840.1</v>
      </c>
      <c r="L140" s="50" t="n">
        <v>0</v>
      </c>
      <c r="M140" s="50" t="n">
        <f aca="false">IF(F140&gt;K140,K140-G140-N140+L140,0)</f>
        <v>0</v>
      </c>
      <c r="N140" s="50" t="n">
        <v>0</v>
      </c>
      <c r="O140" s="50" t="n">
        <f aca="false">(G140-R140-I140-H140)</f>
        <v>542.342791086384</v>
      </c>
      <c r="P140" s="51" t="n">
        <f aca="false">IF(G140 = 0, 0 , (O140/G140))</f>
        <v>0.645569326373507</v>
      </c>
      <c r="Q140" s="50" t="n">
        <f aca="false">SUM(L140:O140)</f>
        <v>542.342791086384</v>
      </c>
      <c r="R140" s="50" t="n">
        <f aca="false">F140*((1+$F$4)^(D140/360)-1)</f>
        <v>254.725958913616</v>
      </c>
      <c r="S140" s="51" t="n">
        <f aca="false">R140/G140</f>
        <v>0.303209092862298</v>
      </c>
      <c r="T140" s="50" t="n">
        <f aca="false">L140+M140+O140+R140+H140+I140</f>
        <v>840.1</v>
      </c>
      <c r="U140" s="50" t="n">
        <f aca="false">F140-O140-M140-L140</f>
        <v>39095.9222280377</v>
      </c>
      <c r="V140" s="2" t="str">
        <f aca="false">IF(M140&gt;0, ROUND(PMT($F$9,$F$10-E140-2,-U140)+$G$2*$F$12/12, 2), "")</f>
        <v/>
      </c>
      <c r="W140" s="2"/>
      <c r="X140" s="2" t="e">
        <f aca="false">IF(V140 &gt; 0, (G140-V140), 0)</f>
        <v>#VALUE!</v>
      </c>
      <c r="Y140" s="2" t="e">
        <f aca="false">X140*(180-E140)-M140</f>
        <v>#VALUE!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5.75" hidden="false" customHeight="true" outlineLevel="0" collapsed="false">
      <c r="A141" s="45" t="s">
        <v>66</v>
      </c>
      <c r="B141" s="46" t="b">
        <f aca="false">FALSE()</f>
        <v>0</v>
      </c>
      <c r="C141" s="47" t="n">
        <v>49629</v>
      </c>
      <c r="D141" s="48" t="n">
        <f aca="false">C141-C140</f>
        <v>31</v>
      </c>
      <c r="E141" s="49" t="n">
        <v>122</v>
      </c>
      <c r="F141" s="50" t="n">
        <f aca="false">IF(U140&gt;0, U140, 0)</f>
        <v>39095.9222280377</v>
      </c>
      <c r="G141" s="50" t="n">
        <f aca="false">IF(AND(V140&lt;&gt;"", V140&lt;$F$7), V140, G140)</f>
        <v>840.1</v>
      </c>
      <c r="H141" s="50" t="n">
        <f aca="false">IF(F141&gt;$F$7, ($G$2*($F$12/12)), 0)</f>
        <v>43.03125</v>
      </c>
      <c r="I141" s="50" t="n">
        <v>0</v>
      </c>
      <c r="J141" s="51" t="n">
        <f aca="false">IF(G141 = 0, 0, (H141+I141)/G141)</f>
        <v>0.0512215807641947</v>
      </c>
      <c r="K141" s="52" t="n">
        <f aca="false">G141</f>
        <v>840.1</v>
      </c>
      <c r="L141" s="50" t="n">
        <v>0</v>
      </c>
      <c r="M141" s="50" t="n">
        <f aca="false">IF(F141&gt;K141,K141-G141-N141+L141,0)</f>
        <v>0</v>
      </c>
      <c r="N141" s="50" t="n">
        <v>0</v>
      </c>
      <c r="O141" s="50" t="n">
        <f aca="false">(G141-R141-I141-H141)</f>
        <v>537.425589832676</v>
      </c>
      <c r="P141" s="51" t="n">
        <f aca="false">IF(G141 = 0, 0 , (O141/G141))</f>
        <v>0.639716212156501</v>
      </c>
      <c r="Q141" s="50" t="n">
        <f aca="false">SUM(L141:O141)</f>
        <v>537.425589832676</v>
      </c>
      <c r="R141" s="50" t="n">
        <f aca="false">F141*((1+$F$4)^(D141/360)-1)</f>
        <v>259.643160167324</v>
      </c>
      <c r="S141" s="51" t="n">
        <f aca="false">R141/G141</f>
        <v>0.309062207079305</v>
      </c>
      <c r="T141" s="50" t="n">
        <f aca="false">L141+M141+O141+R141+H141+I141</f>
        <v>840.1</v>
      </c>
      <c r="U141" s="50" t="n">
        <f aca="false">F141-O141-M141-L141</f>
        <v>38558.496638205</v>
      </c>
      <c r="V141" s="2" t="str">
        <f aca="false">IF(M141&gt;0, ROUND(PMT($F$9,$F$10-E141-2,-U141)+$G$2*$F$12/12, 2), "")</f>
        <v/>
      </c>
      <c r="W141" s="2"/>
      <c r="X141" s="2" t="e">
        <f aca="false">IF(V141 &gt; 0, (G141-V141), 0)</f>
        <v>#VALUE!</v>
      </c>
      <c r="Y141" s="2" t="e">
        <f aca="false">X141*(180-E141)-M141</f>
        <v>#VALUE!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5.75" hidden="false" customHeight="true" outlineLevel="0" collapsed="false">
      <c r="A142" s="45" t="s">
        <v>66</v>
      </c>
      <c r="B142" s="46" t="b">
        <f aca="false">FALSE()</f>
        <v>0</v>
      </c>
      <c r="C142" s="47" t="n">
        <v>49659</v>
      </c>
      <c r="D142" s="48" t="n">
        <f aca="false">C142-C141</f>
        <v>30</v>
      </c>
      <c r="E142" s="49" t="n">
        <v>123</v>
      </c>
      <c r="F142" s="50" t="n">
        <f aca="false">IF(U141&gt;0, U141, 0)</f>
        <v>38558.496638205</v>
      </c>
      <c r="G142" s="50" t="n">
        <f aca="false">IF(AND(V141&lt;&gt;"", V141&lt;$F$7), V141, G141)</f>
        <v>840.1</v>
      </c>
      <c r="H142" s="50" t="n">
        <f aca="false">IF(F142&gt;$F$7, ($G$2*($F$12/12)), 0)</f>
        <v>43.03125</v>
      </c>
      <c r="I142" s="50" t="n">
        <v>0</v>
      </c>
      <c r="J142" s="51" t="n">
        <f aca="false">IF(G142 = 0, 0, (H142+I142)/G142)</f>
        <v>0.0512215807641947</v>
      </c>
      <c r="K142" s="52" t="n">
        <f aca="false">G142</f>
        <v>840.1</v>
      </c>
      <c r="L142" s="50" t="n">
        <v>0</v>
      </c>
      <c r="M142" s="50" t="n">
        <f aca="false">IF(F142&gt;K142,K142-G142-N142+L142,0)</f>
        <v>0</v>
      </c>
      <c r="N142" s="50" t="n">
        <v>0</v>
      </c>
      <c r="O142" s="50" t="n">
        <f aca="false">(G142-R142-I142-H142)</f>
        <v>549.281667853606</v>
      </c>
      <c r="P142" s="51" t="n">
        <f aca="false">IF(G142 = 0, 0 , (O142/G142))</f>
        <v>0.653828910669689</v>
      </c>
      <c r="Q142" s="50" t="n">
        <f aca="false">SUM(L142:O142)</f>
        <v>549.281667853606</v>
      </c>
      <c r="R142" s="50" t="n">
        <f aca="false">F142*((1+$F$4)^(D142/360)-1)</f>
        <v>247.787082146394</v>
      </c>
      <c r="S142" s="51" t="n">
        <f aca="false">R142/G142</f>
        <v>0.294949508566116</v>
      </c>
      <c r="T142" s="50" t="n">
        <f aca="false">L142+M142+O142+R142+H142+I142</f>
        <v>840.1</v>
      </c>
      <c r="U142" s="50" t="n">
        <f aca="false">F142-O142-M142-L142</f>
        <v>38009.2149703514</v>
      </c>
      <c r="V142" s="2" t="str">
        <f aca="false">IF(M142&gt;0, ROUND(PMT($F$9,$F$10-E142-2,-U142)+$G$2*$F$12/12, 2), "")</f>
        <v/>
      </c>
      <c r="W142" s="2"/>
      <c r="X142" s="2" t="e">
        <f aca="false">IF(V142 &gt; 0, (G142-V142), 0)</f>
        <v>#VALUE!</v>
      </c>
      <c r="Y142" s="2" t="e">
        <f aca="false">X142*(180-E142)-M142</f>
        <v>#VALUE!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5.75" hidden="false" customHeight="true" outlineLevel="0" collapsed="false">
      <c r="A143" s="45" t="s">
        <v>66</v>
      </c>
      <c r="B143" s="46" t="b">
        <f aca="false">FALSE()</f>
        <v>0</v>
      </c>
      <c r="C143" s="47" t="n">
        <v>49690</v>
      </c>
      <c r="D143" s="48" t="n">
        <f aca="false">C143-C142</f>
        <v>31</v>
      </c>
      <c r="E143" s="49" t="n">
        <v>124</v>
      </c>
      <c r="F143" s="50" t="n">
        <f aca="false">IF(U142&gt;0, U142, 0)</f>
        <v>38009.2149703514</v>
      </c>
      <c r="G143" s="50" t="n">
        <f aca="false">IF(AND(V142&lt;&gt;"", V142&lt;$F$7), V142, G142)</f>
        <v>840.1</v>
      </c>
      <c r="H143" s="50" t="n">
        <f aca="false">IF(F143&gt;$F$7, ($G$2*($F$12/12)), 0)</f>
        <v>43.03125</v>
      </c>
      <c r="I143" s="50" t="n">
        <v>0</v>
      </c>
      <c r="J143" s="51" t="n">
        <f aca="false">IF(G143 = 0, 0, (H143+I143)/G143)</f>
        <v>0.0512215807641947</v>
      </c>
      <c r="K143" s="52" t="n">
        <f aca="false">G143</f>
        <v>840.1</v>
      </c>
      <c r="L143" s="50" t="n">
        <v>0</v>
      </c>
      <c r="M143" s="50" t="n">
        <f aca="false">IF(F143&gt;K143,K143-G143-N143+L143,0)</f>
        <v>0</v>
      </c>
      <c r="N143" s="50" t="n">
        <v>0</v>
      </c>
      <c r="O143" s="50" t="n">
        <f aca="false">(G143-R143-I143-H143)</f>
        <v>544.642611211957</v>
      </c>
      <c r="P143" s="51" t="n">
        <f aca="false">IF(G143 = 0, 0 , (O143/G143))</f>
        <v>0.648306881575951</v>
      </c>
      <c r="Q143" s="50" t="n">
        <f aca="false">SUM(L143:O143)</f>
        <v>544.642611211957</v>
      </c>
      <c r="R143" s="50" t="n">
        <f aca="false">F143*((1+$F$4)^(D143/360)-1)</f>
        <v>252.426138788043</v>
      </c>
      <c r="S143" s="51" t="n">
        <f aca="false">R143/G143</f>
        <v>0.300471537659854</v>
      </c>
      <c r="T143" s="50" t="n">
        <f aca="false">L143+M143+O143+R143+H143+I143</f>
        <v>840.1</v>
      </c>
      <c r="U143" s="50" t="n">
        <f aca="false">F143-O143-M143-L143</f>
        <v>37464.5723591394</v>
      </c>
      <c r="V143" s="2" t="str">
        <f aca="false">IF(M143&gt;0, ROUND(PMT($F$9,$F$10-E143-2,-U143)+$G$2*$F$12/12, 2), "")</f>
        <v/>
      </c>
      <c r="W143" s="2"/>
      <c r="X143" s="2" t="e">
        <f aca="false">IF(V143 &gt; 0, (G143-V143), 0)</f>
        <v>#VALUE!</v>
      </c>
      <c r="Y143" s="2" t="e">
        <f aca="false">X143*(180-E143)-M143</f>
        <v>#VALUE!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5.75" hidden="false" customHeight="true" outlineLevel="0" collapsed="false">
      <c r="A144" s="45" t="s">
        <v>66</v>
      </c>
      <c r="B144" s="46" t="b">
        <f aca="false">FALSE()</f>
        <v>0</v>
      </c>
      <c r="C144" s="47" t="n">
        <v>49721</v>
      </c>
      <c r="D144" s="48" t="n">
        <f aca="false">C144-C143</f>
        <v>31</v>
      </c>
      <c r="E144" s="49" t="n">
        <v>125</v>
      </c>
      <c r="F144" s="50" t="n">
        <f aca="false">IF(U143&gt;0, U143, 0)</f>
        <v>37464.5723591394</v>
      </c>
      <c r="G144" s="50" t="n">
        <f aca="false">IF(AND(V143&lt;&gt;"", V143&lt;$F$7), V143, G143)</f>
        <v>840.1</v>
      </c>
      <c r="H144" s="50" t="n">
        <f aca="false">IF(F144&gt;$F$7, ($G$2*($F$12/12)), 0)</f>
        <v>43.03125</v>
      </c>
      <c r="I144" s="50" t="n">
        <v>0</v>
      </c>
      <c r="J144" s="51" t="n">
        <f aca="false">IF(G144 = 0, 0, (H144+I144)/G144)</f>
        <v>0.0512215807641947</v>
      </c>
      <c r="K144" s="52" t="n">
        <f aca="false">G144</f>
        <v>840.1</v>
      </c>
      <c r="L144" s="50" t="n">
        <v>0</v>
      </c>
      <c r="M144" s="50" t="n">
        <f aca="false">IF(F144&gt;K144,K144-G144-N144+L144,0)</f>
        <v>0</v>
      </c>
      <c r="N144" s="50" t="n">
        <v>0</v>
      </c>
      <c r="O144" s="50" t="n">
        <f aca="false">(G144-R144-I144-H144)</f>
        <v>548.259682268934</v>
      </c>
      <c r="P144" s="51" t="n">
        <f aca="false">IF(G144 = 0, 0 , (O144/G144))</f>
        <v>0.652612405986113</v>
      </c>
      <c r="Q144" s="50" t="n">
        <f aca="false">SUM(L144:O144)</f>
        <v>548.259682268934</v>
      </c>
      <c r="R144" s="50" t="n">
        <f aca="false">F144*((1+$F$4)^(D144/360)-1)</f>
        <v>248.809067731067</v>
      </c>
      <c r="S144" s="51" t="n">
        <f aca="false">R144/G144</f>
        <v>0.296166013249692</v>
      </c>
      <c r="T144" s="50" t="n">
        <f aca="false">L144+M144+O144+R144+H144+I144</f>
        <v>840.1</v>
      </c>
      <c r="U144" s="50" t="n">
        <f aca="false">F144-O144-M144-L144</f>
        <v>36916.3126768705</v>
      </c>
      <c r="V144" s="2" t="str">
        <f aca="false">IF(M144&gt;0, ROUND(PMT($F$9,$F$10-E144-2,-U144)+$G$2*$F$12/12, 2), "")</f>
        <v/>
      </c>
      <c r="W144" s="2"/>
      <c r="X144" s="2" t="e">
        <f aca="false">IF(V144 &gt; 0, (G144-V144), 0)</f>
        <v>#VALUE!</v>
      </c>
      <c r="Y144" s="2" t="e">
        <f aca="false">X144*(180-E144)-M144</f>
        <v>#VALUE!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customFormat="false" ht="15.75" hidden="false" customHeight="true" outlineLevel="0" collapsed="false">
      <c r="A145" s="45" t="s">
        <v>66</v>
      </c>
      <c r="B145" s="46" t="b">
        <f aca="false">FALSE()</f>
        <v>0</v>
      </c>
      <c r="C145" s="47" t="n">
        <v>49750</v>
      </c>
      <c r="D145" s="48" t="n">
        <f aca="false">C145-C144</f>
        <v>29</v>
      </c>
      <c r="E145" s="49" t="n">
        <v>126</v>
      </c>
      <c r="F145" s="50" t="n">
        <f aca="false">IF(U144&gt;0, U144, 0)</f>
        <v>36916.3126768705</v>
      </c>
      <c r="G145" s="50" t="n">
        <f aca="false">IF(AND(V144&lt;&gt;"", V144&lt;$F$7), V144, G144)</f>
        <v>840.1</v>
      </c>
      <c r="H145" s="50" t="n">
        <f aca="false">IF(F145&gt;$F$7, ($G$2*($F$12/12)), 0)</f>
        <v>43.03125</v>
      </c>
      <c r="I145" s="50" t="n">
        <v>0</v>
      </c>
      <c r="J145" s="51" t="n">
        <f aca="false">IF(G145 = 0, 0, (H145+I145)/G145)</f>
        <v>0.0512215807641947</v>
      </c>
      <c r="K145" s="52" t="n">
        <f aca="false">G145</f>
        <v>840.1</v>
      </c>
      <c r="L145" s="50" t="n">
        <v>0</v>
      </c>
      <c r="M145" s="50" t="n">
        <f aca="false">IF(F145&gt;K145,K145-G145-N145+L145,0)</f>
        <v>0</v>
      </c>
      <c r="N145" s="50" t="n">
        <v>0</v>
      </c>
      <c r="O145" s="50" t="n">
        <f aca="false">(G145-R145-I145-H145)</f>
        <v>567.767082463183</v>
      </c>
      <c r="P145" s="51" t="n">
        <f aca="false">IF(G145 = 0, 0 , (O145/G145))</f>
        <v>0.675832737130322</v>
      </c>
      <c r="Q145" s="50" t="n">
        <f aca="false">SUM(L145:O145)</f>
        <v>567.767082463183</v>
      </c>
      <c r="R145" s="50" t="n">
        <f aca="false">F145*((1+$F$4)^(D145/360)-1)</f>
        <v>229.301667536817</v>
      </c>
      <c r="S145" s="51" t="n">
        <f aca="false">R145/G145</f>
        <v>0.272945682105483</v>
      </c>
      <c r="T145" s="50" t="n">
        <f aca="false">L145+M145+O145+R145+H145+I145</f>
        <v>840.1</v>
      </c>
      <c r="U145" s="50" t="n">
        <f aca="false">F145-O145-M145-L145</f>
        <v>36348.5455944073</v>
      </c>
      <c r="V145" s="2" t="str">
        <f aca="false">IF(M145&gt;0, ROUND(PMT($F$9,$F$10-E145-2,-U145)+$G$2*$F$12/12, 2), "")</f>
        <v/>
      </c>
      <c r="W145" s="2"/>
      <c r="X145" s="2" t="e">
        <f aca="false">IF(V145 &gt; 0, (G145-V145), 0)</f>
        <v>#VALUE!</v>
      </c>
      <c r="Y145" s="2" t="e">
        <f aca="false">X145*(180-E145)-M145</f>
        <v>#VALUE!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5.75" hidden="false" customHeight="true" outlineLevel="0" collapsed="false">
      <c r="A146" s="45" t="s">
        <v>66</v>
      </c>
      <c r="B146" s="46" t="b">
        <f aca="false">FALSE()</f>
        <v>0</v>
      </c>
      <c r="C146" s="47" t="n">
        <v>49781</v>
      </c>
      <c r="D146" s="48" t="n">
        <f aca="false">C146-C145</f>
        <v>31</v>
      </c>
      <c r="E146" s="49" t="n">
        <v>127</v>
      </c>
      <c r="F146" s="50" t="n">
        <f aca="false">IF(U145&gt;0, U145, 0)</f>
        <v>36348.5455944073</v>
      </c>
      <c r="G146" s="50" t="n">
        <f aca="false">IF(AND(V145&lt;&gt;"", V145&lt;$F$7), V145, G145)</f>
        <v>840.1</v>
      </c>
      <c r="H146" s="50" t="n">
        <f aca="false">IF(F146&gt;$F$7, ($G$2*($F$12/12)), 0)</f>
        <v>43.03125</v>
      </c>
      <c r="I146" s="50" t="n">
        <v>0</v>
      </c>
      <c r="J146" s="51" t="n">
        <f aca="false">IF(G146 = 0, 0, (H146+I146)/G146)</f>
        <v>0.0512215807641947</v>
      </c>
      <c r="K146" s="52" t="n">
        <f aca="false">G146</f>
        <v>840.1</v>
      </c>
      <c r="L146" s="50" t="n">
        <v>0</v>
      </c>
      <c r="M146" s="50" t="n">
        <f aca="false">IF(F146&gt;K146,K146-G146-N146+L146,0)</f>
        <v>0</v>
      </c>
      <c r="N146" s="50" t="n">
        <v>0</v>
      </c>
      <c r="O146" s="50" t="n">
        <f aca="false">(G146-R146-I146-H146)</f>
        <v>555.671419849549</v>
      </c>
      <c r="P146" s="51" t="n">
        <f aca="false">IF(G146 = 0, 0 , (O146/G146))</f>
        <v>0.661434852814604</v>
      </c>
      <c r="Q146" s="50" t="n">
        <f aca="false">SUM(L146:O146)</f>
        <v>555.671419849549</v>
      </c>
      <c r="R146" s="50" t="n">
        <f aca="false">F146*((1+$F$4)^(D146/360)-1)</f>
        <v>241.397330150451</v>
      </c>
      <c r="S146" s="51" t="n">
        <f aca="false">R146/G146</f>
        <v>0.287343566421201</v>
      </c>
      <c r="T146" s="50" t="n">
        <f aca="false">L146+M146+O146+R146+H146+I146</f>
        <v>840.1</v>
      </c>
      <c r="U146" s="50" t="n">
        <f aca="false">F146-O146-M146-L146</f>
        <v>35792.8741745578</v>
      </c>
      <c r="V146" s="2" t="str">
        <f aca="false">IF(M146&gt;0, ROUND(PMT($F$9,$F$10-E146-2,-U146)+$G$2*$F$12/12, 2), "")</f>
        <v/>
      </c>
      <c r="W146" s="2"/>
      <c r="X146" s="2" t="e">
        <f aca="false">IF(V146 &gt; 0, (G146-V146), 0)</f>
        <v>#VALUE!</v>
      </c>
      <c r="Y146" s="2" t="e">
        <f aca="false">X146*(180-E146)-M146</f>
        <v>#VALUE!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5.75" hidden="false" customHeight="true" outlineLevel="0" collapsed="false">
      <c r="A147" s="45" t="s">
        <v>66</v>
      </c>
      <c r="B147" s="46" t="b">
        <f aca="false">FALSE()</f>
        <v>0</v>
      </c>
      <c r="C147" s="47" t="n">
        <v>49811</v>
      </c>
      <c r="D147" s="48" t="n">
        <f aca="false">C147-C146</f>
        <v>30</v>
      </c>
      <c r="E147" s="49" t="n">
        <v>128</v>
      </c>
      <c r="F147" s="50" t="n">
        <f aca="false">IF(U146&gt;0, U146, 0)</f>
        <v>35792.8741745578</v>
      </c>
      <c r="G147" s="50" t="n">
        <f aca="false">IF(AND(V146&lt;&gt;"", V146&lt;$F$7), V146, G146)</f>
        <v>840.1</v>
      </c>
      <c r="H147" s="50" t="n">
        <f aca="false">IF(F147&gt;$F$7, ($G$2*($F$12/12)), 0)</f>
        <v>43.03125</v>
      </c>
      <c r="I147" s="50" t="n">
        <v>0</v>
      </c>
      <c r="J147" s="51" t="n">
        <f aca="false">IF(G147 = 0, 0, (H147+I147)/G147)</f>
        <v>0.0512215807641947</v>
      </c>
      <c r="K147" s="52" t="n">
        <f aca="false">G147</f>
        <v>840.1</v>
      </c>
      <c r="L147" s="50" t="n">
        <v>0</v>
      </c>
      <c r="M147" s="50" t="n">
        <f aca="false">IF(F147&gt;K147,K147-G147-N147+L147,0)</f>
        <v>0</v>
      </c>
      <c r="N147" s="50" t="n">
        <v>0</v>
      </c>
      <c r="O147" s="50" t="n">
        <f aca="false">(G147-R147-I147-H147)</f>
        <v>567.05428816647</v>
      </c>
      <c r="P147" s="51" t="n">
        <f aca="false">IF(G147 = 0, 0 , (O147/G147))</f>
        <v>0.674984273498953</v>
      </c>
      <c r="Q147" s="50" t="n">
        <f aca="false">SUM(L147:O147)</f>
        <v>567.05428816647</v>
      </c>
      <c r="R147" s="50" t="n">
        <f aca="false">F147*((1+$F$4)^(D147/360)-1)</f>
        <v>230.01446183353</v>
      </c>
      <c r="S147" s="51" t="n">
        <f aca="false">R147/G147</f>
        <v>0.273794145736852</v>
      </c>
      <c r="T147" s="50" t="n">
        <f aca="false">L147+M147+O147+R147+H147+I147</f>
        <v>840.1</v>
      </c>
      <c r="U147" s="50" t="n">
        <f aca="false">F147-O147-M147-L147</f>
        <v>35225.8198863913</v>
      </c>
      <c r="V147" s="2" t="str">
        <f aca="false">IF(M147&gt;0, ROUND(PMT($F$9,$F$10-E147-2,-U147)+$G$2*$F$12/12, 2), "")</f>
        <v/>
      </c>
      <c r="W147" s="2"/>
      <c r="X147" s="2" t="e">
        <f aca="false">IF(V147 &gt; 0, (G147-V147), 0)</f>
        <v>#VALUE!</v>
      </c>
      <c r="Y147" s="2" t="e">
        <f aca="false">X147*(180-E147)-M147</f>
        <v>#VALUE!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15.75" hidden="false" customHeight="true" outlineLevel="0" collapsed="false">
      <c r="A148" s="45" t="s">
        <v>66</v>
      </c>
      <c r="B148" s="46" t="b">
        <f aca="false">FALSE()</f>
        <v>0</v>
      </c>
      <c r="C148" s="47" t="n">
        <v>49842</v>
      </c>
      <c r="D148" s="48" t="n">
        <f aca="false">C148-C147</f>
        <v>31</v>
      </c>
      <c r="E148" s="49" t="n">
        <v>129</v>
      </c>
      <c r="F148" s="50" t="n">
        <f aca="false">IF(U147&gt;0, U147, 0)</f>
        <v>35225.8198863913</v>
      </c>
      <c r="G148" s="50" t="n">
        <f aca="false">IF(AND(V147&lt;&gt;"", V147&lt;$F$7), V147, G147)</f>
        <v>840.1</v>
      </c>
      <c r="H148" s="50" t="n">
        <f aca="false">IF(F148&gt;$F$7, ($G$2*($F$12/12)), 0)</f>
        <v>43.03125</v>
      </c>
      <c r="I148" s="50" t="n">
        <v>0</v>
      </c>
      <c r="J148" s="51" t="n">
        <f aca="false">IF(G148 = 0, 0, (H148+I148)/G148)</f>
        <v>0.0512215807641947</v>
      </c>
      <c r="K148" s="52" t="n">
        <f aca="false">G148</f>
        <v>840.1</v>
      </c>
      <c r="L148" s="50" t="n">
        <v>0</v>
      </c>
      <c r="M148" s="50" t="n">
        <f aca="false">IF(F148&gt;K148,K148-G148-N148+L148,0)</f>
        <v>0</v>
      </c>
      <c r="N148" s="50" t="n">
        <v>0</v>
      </c>
      <c r="O148" s="50" t="n">
        <f aca="false">(G148-R148-I148-H148)</f>
        <v>563.127646336037</v>
      </c>
      <c r="P148" s="51" t="n">
        <f aca="false">IF(G148 = 0, 0 , (O148/G148))</f>
        <v>0.670310256321911</v>
      </c>
      <c r="Q148" s="50" t="n">
        <f aca="false">SUM(L148:O148)</f>
        <v>563.127646336037</v>
      </c>
      <c r="R148" s="50" t="n">
        <f aca="false">F148*((1+$F$4)^(D148/360)-1)</f>
        <v>233.941103663963</v>
      </c>
      <c r="S148" s="51" t="n">
        <f aca="false">R148/G148</f>
        <v>0.278468162913895</v>
      </c>
      <c r="T148" s="50" t="n">
        <f aca="false">L148+M148+O148+R148+H148+I148</f>
        <v>840.1</v>
      </c>
      <c r="U148" s="50" t="n">
        <f aca="false">F148-O148-M148-L148</f>
        <v>34662.6922400553</v>
      </c>
      <c r="V148" s="2" t="str">
        <f aca="false">IF(M148&gt;0, ROUND(PMT($F$9,$F$10-E148-2,-U148)+$G$2*$F$12/12, 2), "")</f>
        <v/>
      </c>
      <c r="W148" s="2"/>
      <c r="X148" s="2" t="e">
        <f aca="false">IF(V148 &gt; 0, (G148-V148), 0)</f>
        <v>#VALUE!</v>
      </c>
      <c r="Y148" s="2" t="e">
        <f aca="false">X148*(180-E148)-M148</f>
        <v>#VALUE!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15.75" hidden="false" customHeight="true" outlineLevel="0" collapsed="false">
      <c r="A149" s="45" t="s">
        <v>66</v>
      </c>
      <c r="B149" s="46" t="b">
        <f aca="false">FALSE()</f>
        <v>0</v>
      </c>
      <c r="C149" s="47" t="n">
        <v>49872</v>
      </c>
      <c r="D149" s="48" t="n">
        <f aca="false">C149-C148</f>
        <v>30</v>
      </c>
      <c r="E149" s="49" t="n">
        <v>130</v>
      </c>
      <c r="F149" s="50" t="n">
        <f aca="false">IF(U148&gt;0, U148, 0)</f>
        <v>34662.6922400553</v>
      </c>
      <c r="G149" s="50" t="n">
        <f aca="false">IF(AND(V148&lt;&gt;"", V148&lt;$F$7), V148, G148)</f>
        <v>840.1</v>
      </c>
      <c r="H149" s="50" t="n">
        <f aca="false">IF(F149&gt;$F$7, ($G$2*($F$12/12)), 0)</f>
        <v>43.03125</v>
      </c>
      <c r="I149" s="50" t="n">
        <v>0</v>
      </c>
      <c r="J149" s="51" t="n">
        <f aca="false">IF(G149 = 0, 0, (H149+I149)/G149)</f>
        <v>0.0512215807641947</v>
      </c>
      <c r="K149" s="52" t="n">
        <f aca="false">G149</f>
        <v>840.1</v>
      </c>
      <c r="L149" s="50" t="n">
        <v>0</v>
      </c>
      <c r="M149" s="50" t="n">
        <f aca="false">IF(F149&gt;K149,K149-G149-N149+L149,0)</f>
        <v>0</v>
      </c>
      <c r="N149" s="50" t="n">
        <v>0</v>
      </c>
      <c r="O149" s="50" t="n">
        <f aca="false">(G149-R149-I149-H149)</f>
        <v>574.317135742521</v>
      </c>
      <c r="P149" s="51" t="n">
        <f aca="false">IF(G149 = 0, 0 , (O149/G149))</f>
        <v>0.683629491420689</v>
      </c>
      <c r="Q149" s="50" t="n">
        <f aca="false">SUM(L149:O149)</f>
        <v>574.317135742521</v>
      </c>
      <c r="R149" s="50" t="n">
        <f aca="false">F149*((1+$F$4)^(D149/360)-1)</f>
        <v>222.751614257479</v>
      </c>
      <c r="S149" s="51" t="n">
        <f aca="false">R149/G149</f>
        <v>0.265148927815116</v>
      </c>
      <c r="T149" s="50" t="n">
        <f aca="false">L149+M149+O149+R149+H149+I149</f>
        <v>840.1</v>
      </c>
      <c r="U149" s="50" t="n">
        <f aca="false">F149-O149-M149-L149</f>
        <v>34088.3751043127</v>
      </c>
      <c r="V149" s="2" t="str">
        <f aca="false">IF(M149&gt;0, ROUND(PMT($F$9,$F$10-E149-2,-U149)+$G$2*$F$12/12, 2), "")</f>
        <v/>
      </c>
      <c r="W149" s="2"/>
      <c r="X149" s="2" t="e">
        <f aca="false">IF(V149 &gt; 0, (G149-V149), 0)</f>
        <v>#VALUE!</v>
      </c>
      <c r="Y149" s="2" t="e">
        <f aca="false">X149*(180-E149)-M149</f>
        <v>#VALUE!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15.75" hidden="false" customHeight="true" outlineLevel="0" collapsed="false">
      <c r="A150" s="45" t="s">
        <v>66</v>
      </c>
      <c r="B150" s="46" t="b">
        <f aca="false">FALSE()</f>
        <v>0</v>
      </c>
      <c r="C150" s="47" t="n">
        <v>49903</v>
      </c>
      <c r="D150" s="48" t="n">
        <f aca="false">C150-C149</f>
        <v>31</v>
      </c>
      <c r="E150" s="49" t="n">
        <v>131</v>
      </c>
      <c r="F150" s="50" t="n">
        <f aca="false">IF(U149&gt;0, U149, 0)</f>
        <v>34088.3751043127</v>
      </c>
      <c r="G150" s="50" t="n">
        <f aca="false">IF(AND(V149&lt;&gt;"", V149&lt;$F$7), V149, G149)</f>
        <v>840.1</v>
      </c>
      <c r="H150" s="50" t="n">
        <f aca="false">IF(F150&gt;$F$7, ($G$2*($F$12/12)), 0)</f>
        <v>43.03125</v>
      </c>
      <c r="I150" s="50" t="n">
        <v>0</v>
      </c>
      <c r="J150" s="51" t="n">
        <f aca="false">IF(G150 = 0, 0, (H150+I150)/G150)</f>
        <v>0.0512215807641947</v>
      </c>
      <c r="K150" s="52" t="n">
        <f aca="false">G150</f>
        <v>840.1</v>
      </c>
      <c r="L150" s="50" t="n">
        <v>0</v>
      </c>
      <c r="M150" s="50" t="n">
        <f aca="false">IF(F150&gt;K150,K150-G150-N150+L150,0)</f>
        <v>0</v>
      </c>
      <c r="N150" s="50" t="n">
        <v>0</v>
      </c>
      <c r="O150" s="50" t="n">
        <f aca="false">(G150-R150-I150-H150)</f>
        <v>570.681624881731</v>
      </c>
      <c r="P150" s="51" t="n">
        <f aca="false">IF(G150 = 0, 0 , (O150/G150))</f>
        <v>0.679302017476171</v>
      </c>
      <c r="Q150" s="50" t="n">
        <f aca="false">SUM(L150:O150)</f>
        <v>570.681624881731</v>
      </c>
      <c r="R150" s="50" t="n">
        <f aca="false">F150*((1+$F$4)^(D150/360)-1)</f>
        <v>226.387125118269</v>
      </c>
      <c r="S150" s="51" t="n">
        <f aca="false">R150/G150</f>
        <v>0.269476401759635</v>
      </c>
      <c r="T150" s="50" t="n">
        <f aca="false">L150+M150+O150+R150+H150+I150</f>
        <v>840.1</v>
      </c>
      <c r="U150" s="50" t="n">
        <f aca="false">F150-O150-M150-L150</f>
        <v>33517.693479431</v>
      </c>
      <c r="V150" s="2" t="str">
        <f aca="false">IF(M150&gt;0, ROUND(PMT($F$9,$F$10-E150-2,-U150)+$G$2*$F$12/12, 2), "")</f>
        <v/>
      </c>
      <c r="W150" s="2"/>
      <c r="X150" s="2" t="e">
        <f aca="false">IF(V150 &gt; 0, (G150-V150), 0)</f>
        <v>#VALUE!</v>
      </c>
      <c r="Y150" s="2" t="e">
        <f aca="false">X150*(180-E150)-M150</f>
        <v>#VALUE!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customFormat="false" ht="15.75" hidden="false" customHeight="true" outlineLevel="0" collapsed="false">
      <c r="A151" s="45" t="s">
        <v>66</v>
      </c>
      <c r="B151" s="46" t="b">
        <f aca="false">FALSE()</f>
        <v>0</v>
      </c>
      <c r="C151" s="47" t="n">
        <v>49934</v>
      </c>
      <c r="D151" s="48" t="n">
        <f aca="false">C151-C150</f>
        <v>31</v>
      </c>
      <c r="E151" s="49" t="n">
        <v>132</v>
      </c>
      <c r="F151" s="50" t="n">
        <f aca="false">IF(U150&gt;0, U150, 0)</f>
        <v>33517.693479431</v>
      </c>
      <c r="G151" s="50" t="n">
        <f aca="false">IF(AND(V150&lt;&gt;"", V150&lt;$F$7), V150, G150)</f>
        <v>840.1</v>
      </c>
      <c r="H151" s="50" t="n">
        <f aca="false">IF(F151&gt;$F$7, ($G$2*($F$12/12)), 0)</f>
        <v>43.03125</v>
      </c>
      <c r="I151" s="50" t="n">
        <v>0</v>
      </c>
      <c r="J151" s="51" t="n">
        <f aca="false">IF(G151 = 0, 0, (H151+I151)/G151)</f>
        <v>0.0512215807641947</v>
      </c>
      <c r="K151" s="52" t="n">
        <f aca="false">G151</f>
        <v>840.1</v>
      </c>
      <c r="L151" s="50" t="n">
        <v>0</v>
      </c>
      <c r="M151" s="50" t="n">
        <f aca="false">IF(F151&gt;K151,K151-G151-N151+L151,0)</f>
        <v>0</v>
      </c>
      <c r="N151" s="50" t="n">
        <v>0</v>
      </c>
      <c r="O151" s="50" t="n">
        <f aca="false">(G151-R151-I151-H151)</f>
        <v>574.471625784369</v>
      </c>
      <c r="P151" s="51" t="n">
        <f aca="false">IF(G151 = 0, 0 , (O151/G151))</f>
        <v>0.683813386244933</v>
      </c>
      <c r="Q151" s="50" t="n">
        <f aca="false">SUM(L151:O151)</f>
        <v>574.471625784369</v>
      </c>
      <c r="R151" s="50" t="n">
        <f aca="false">F151*((1+$F$4)^(D151/360)-1)</f>
        <v>222.597124215632</v>
      </c>
      <c r="S151" s="51" t="n">
        <f aca="false">R151/G151</f>
        <v>0.264965032990872</v>
      </c>
      <c r="T151" s="50" t="n">
        <f aca="false">L151+M151+O151+R151+H151+I151</f>
        <v>840.1</v>
      </c>
      <c r="U151" s="50" t="n">
        <f aca="false">F151-O151-M151-L151</f>
        <v>32943.2218536466</v>
      </c>
      <c r="V151" s="2" t="str">
        <f aca="false">IF(M151&gt;0, ROUND(PMT($F$9,$F$10-E151-2,-U151)+$G$2*$F$12/12, 2), "")</f>
        <v/>
      </c>
      <c r="W151" s="2"/>
      <c r="X151" s="2" t="e">
        <f aca="false">IF(V151 &gt; 0, (G151-V151), 0)</f>
        <v>#VALUE!</v>
      </c>
      <c r="Y151" s="2" t="e">
        <f aca="false">X151*(180-E151)-M151</f>
        <v>#VALUE!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15.75" hidden="false" customHeight="true" outlineLevel="0" collapsed="false">
      <c r="A152" s="45" t="s">
        <v>66</v>
      </c>
      <c r="B152" s="46" t="b">
        <f aca="false">FALSE()</f>
        <v>0</v>
      </c>
      <c r="C152" s="47" t="n">
        <v>49964</v>
      </c>
      <c r="D152" s="48" t="n">
        <f aca="false">C152-C151</f>
        <v>30</v>
      </c>
      <c r="E152" s="49" t="n">
        <v>133</v>
      </c>
      <c r="F152" s="50" t="n">
        <f aca="false">IF(U151&gt;0, U151, 0)</f>
        <v>32943.2218536466</v>
      </c>
      <c r="G152" s="50" t="n">
        <f aca="false">IF(AND(V151&lt;&gt;"", V151&lt;$F$7), V151, G151)</f>
        <v>840.1</v>
      </c>
      <c r="H152" s="50" t="n">
        <f aca="false">IF(F152&gt;$F$7, ($G$2*($F$12/12)), 0)</f>
        <v>43.03125</v>
      </c>
      <c r="I152" s="50" t="n">
        <v>0</v>
      </c>
      <c r="J152" s="51" t="n">
        <f aca="false">IF(G152 = 0, 0, (H152+I152)/G152)</f>
        <v>0.0512215807641947</v>
      </c>
      <c r="K152" s="52" t="n">
        <f aca="false">G152</f>
        <v>840.1</v>
      </c>
      <c r="L152" s="50" t="n">
        <v>0</v>
      </c>
      <c r="M152" s="50" t="n">
        <f aca="false">IF(F152&gt;K152,K152-G152-N152+L152,0)</f>
        <v>0</v>
      </c>
      <c r="N152" s="50" t="n">
        <v>0</v>
      </c>
      <c r="O152" s="50" t="n">
        <f aca="false">(G152-R152-I152-H152)</f>
        <v>585.3669065332</v>
      </c>
      <c r="P152" s="51" t="n">
        <f aca="false">IF(G152 = 0, 0 , (O152/G152))</f>
        <v>0.69678241463302</v>
      </c>
      <c r="Q152" s="50" t="n">
        <f aca="false">SUM(L152:O152)</f>
        <v>585.3669065332</v>
      </c>
      <c r="R152" s="50" t="n">
        <f aca="false">F152*((1+$F$4)^(D152/360)-1)</f>
        <v>211.7018434668</v>
      </c>
      <c r="S152" s="51" t="n">
        <f aca="false">R152/G152</f>
        <v>0.251996004602786</v>
      </c>
      <c r="T152" s="50" t="n">
        <f aca="false">L152+M152+O152+R152+H152+I152</f>
        <v>840.1</v>
      </c>
      <c r="U152" s="50" t="n">
        <f aca="false">F152-O152-M152-L152</f>
        <v>32357.8549471134</v>
      </c>
      <c r="V152" s="2" t="str">
        <f aca="false">IF(M152&gt;0, ROUND(PMT($F$9,$F$10-E152-2,-U152)+$G$2*$F$12/12, 2), "")</f>
        <v/>
      </c>
      <c r="W152" s="2"/>
      <c r="X152" s="2" t="e">
        <f aca="false">IF(V152 &gt; 0, (G152-V152), 0)</f>
        <v>#VALUE!</v>
      </c>
      <c r="Y152" s="2" t="e">
        <f aca="false">X152*(180-E152)-M152</f>
        <v>#VALUE!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15.75" hidden="false" customHeight="true" outlineLevel="0" collapsed="false">
      <c r="A153" s="45" t="s">
        <v>66</v>
      </c>
      <c r="B153" s="46" t="b">
        <f aca="false">FALSE()</f>
        <v>0</v>
      </c>
      <c r="C153" s="47" t="n">
        <v>49995</v>
      </c>
      <c r="D153" s="48" t="n">
        <f aca="false">C153-C152</f>
        <v>31</v>
      </c>
      <c r="E153" s="49" t="n">
        <v>134</v>
      </c>
      <c r="F153" s="50" t="n">
        <f aca="false">IF(U152&gt;0, U152, 0)</f>
        <v>32357.8549471134</v>
      </c>
      <c r="G153" s="50" t="n">
        <f aca="false">IF(AND(V152&lt;&gt;"", V152&lt;$F$7), V152, G152)</f>
        <v>840.1</v>
      </c>
      <c r="H153" s="50" t="n">
        <f aca="false">IF(F153&gt;$F$7, ($G$2*($F$12/12)), 0)</f>
        <v>43.03125</v>
      </c>
      <c r="I153" s="50" t="n">
        <v>0</v>
      </c>
      <c r="J153" s="51" t="n">
        <f aca="false">IF(G153 = 0, 0, (H153+I153)/G153)</f>
        <v>0.0512215807641947</v>
      </c>
      <c r="K153" s="52" t="n">
        <f aca="false">G153</f>
        <v>840.1</v>
      </c>
      <c r="L153" s="50" t="n">
        <v>0</v>
      </c>
      <c r="M153" s="50" t="n">
        <f aca="false">IF(F153&gt;K153,K153-G153-N153+L153,0)</f>
        <v>0</v>
      </c>
      <c r="N153" s="50" t="n">
        <v>0</v>
      </c>
      <c r="O153" s="50" t="n">
        <f aca="false">(G153-R153-I153-H153)</f>
        <v>582.174325315493</v>
      </c>
      <c r="P153" s="51" t="n">
        <f aca="false">IF(G153 = 0, 0 , (O153/G153))</f>
        <v>0.692982175116644</v>
      </c>
      <c r="Q153" s="50" t="n">
        <f aca="false">SUM(L153:O153)</f>
        <v>582.174325315493</v>
      </c>
      <c r="R153" s="50" t="n">
        <f aca="false">F153*((1+$F$4)^(D153/360)-1)</f>
        <v>214.894424684508</v>
      </c>
      <c r="S153" s="51" t="n">
        <f aca="false">R153/G153</f>
        <v>0.255796244119161</v>
      </c>
      <c r="T153" s="50" t="n">
        <f aca="false">L153+M153+O153+R153+H153+I153</f>
        <v>840.1</v>
      </c>
      <c r="U153" s="50" t="n">
        <f aca="false">F153-O153-M153-L153</f>
        <v>31775.6806217979</v>
      </c>
      <c r="V153" s="2" t="str">
        <f aca="false">IF(M153&gt;0, ROUND(PMT($F$9,$F$10-E153-2,-U153)+$G$2*$F$12/12, 2), "")</f>
        <v/>
      </c>
      <c r="W153" s="2"/>
      <c r="X153" s="2" t="e">
        <f aca="false">IF(V153 &gt; 0, (G153-V153), 0)</f>
        <v>#VALUE!</v>
      </c>
      <c r="Y153" s="2" t="e">
        <f aca="false">X153*(180-E153)-M153</f>
        <v>#VALUE!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15.75" hidden="false" customHeight="true" outlineLevel="0" collapsed="false">
      <c r="A154" s="45" t="s">
        <v>66</v>
      </c>
      <c r="B154" s="46" t="b">
        <f aca="false">FALSE()</f>
        <v>0</v>
      </c>
      <c r="C154" s="47" t="n">
        <v>50025</v>
      </c>
      <c r="D154" s="48" t="n">
        <f aca="false">C154-C153</f>
        <v>30</v>
      </c>
      <c r="E154" s="49" t="n">
        <v>135</v>
      </c>
      <c r="F154" s="50" t="n">
        <f aca="false">IF(U153&gt;0, U153, 0)</f>
        <v>31775.6806217979</v>
      </c>
      <c r="G154" s="50" t="n">
        <f aca="false">IF(AND(V153&lt;&gt;"", V153&lt;$F$7), V153, G153)</f>
        <v>840.1</v>
      </c>
      <c r="H154" s="50" t="n">
        <f aca="false">IF(F154&gt;$F$7, ($G$2*($F$12/12)), 0)</f>
        <v>43.03125</v>
      </c>
      <c r="I154" s="50" t="n">
        <v>0</v>
      </c>
      <c r="J154" s="51" t="n">
        <f aca="false">IF(G154 = 0, 0, (H154+I154)/G154)</f>
        <v>0.0512215807641947</v>
      </c>
      <c r="K154" s="52" t="n">
        <f aca="false">G154</f>
        <v>840.1</v>
      </c>
      <c r="L154" s="50" t="n">
        <v>0</v>
      </c>
      <c r="M154" s="50" t="n">
        <f aca="false">IF(F154&gt;K154,K154-G154-N154+L154,0)</f>
        <v>0</v>
      </c>
      <c r="N154" s="50" t="n">
        <v>0</v>
      </c>
      <c r="O154" s="50" t="n">
        <f aca="false">(G154-R154-I154-H154)</f>
        <v>592.869834820055</v>
      </c>
      <c r="P154" s="51" t="n">
        <f aca="false">IF(G154 = 0, 0 , (O154/G154))</f>
        <v>0.705713408903767</v>
      </c>
      <c r="Q154" s="50" t="n">
        <f aca="false">SUM(L154:O154)</f>
        <v>592.869834820055</v>
      </c>
      <c r="R154" s="50" t="n">
        <f aca="false">F154*((1+$F$4)^(D154/360)-1)</f>
        <v>204.198915179945</v>
      </c>
      <c r="S154" s="51" t="n">
        <f aca="false">R154/G154</f>
        <v>0.243065010332038</v>
      </c>
      <c r="T154" s="50" t="n">
        <f aca="false">L154+M154+O154+R154+H154+I154</f>
        <v>840.1</v>
      </c>
      <c r="U154" s="50" t="n">
        <f aca="false">F154-O154-M154-L154</f>
        <v>31182.8107869779</v>
      </c>
      <c r="V154" s="2" t="str">
        <f aca="false">IF(M154&gt;0, ROUND(PMT($F$9,$F$10-E154-2,-U154)+$G$2*$F$12/12, 2), "")</f>
        <v/>
      </c>
      <c r="W154" s="2"/>
      <c r="X154" s="2" t="e">
        <f aca="false">IF(V154 &gt; 0, (G154-V154), 0)</f>
        <v>#VALUE!</v>
      </c>
      <c r="Y154" s="2" t="e">
        <f aca="false">X154*(180-E154)-M154</f>
        <v>#VALUE!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15.75" hidden="false" customHeight="true" outlineLevel="0" collapsed="false">
      <c r="A155" s="45" t="s">
        <v>66</v>
      </c>
      <c r="B155" s="46" t="b">
        <f aca="false">FALSE()</f>
        <v>0</v>
      </c>
      <c r="C155" s="47" t="n">
        <v>50056</v>
      </c>
      <c r="D155" s="48" t="n">
        <f aca="false">C155-C154</f>
        <v>31</v>
      </c>
      <c r="E155" s="49" t="n">
        <v>136</v>
      </c>
      <c r="F155" s="50" t="n">
        <f aca="false">IF(U154&gt;0, U154, 0)</f>
        <v>31182.8107869779</v>
      </c>
      <c r="G155" s="50" t="n">
        <f aca="false">IF(AND(V154&lt;&gt;"", V154&lt;$F$7), V154, G154)</f>
        <v>840.1</v>
      </c>
      <c r="H155" s="50" t="n">
        <f aca="false">IF(F155&gt;$F$7, ($G$2*($F$12/12)), 0)</f>
        <v>43.03125</v>
      </c>
      <c r="I155" s="50" t="n">
        <v>0</v>
      </c>
      <c r="J155" s="51" t="n">
        <f aca="false">IF(G155 = 0, 0, (H155+I155)/G155)</f>
        <v>0.0512215807641947</v>
      </c>
      <c r="K155" s="52" t="n">
        <f aca="false">G155</f>
        <v>840.1</v>
      </c>
      <c r="L155" s="50" t="n">
        <v>0</v>
      </c>
      <c r="M155" s="50" t="n">
        <f aca="false">IF(F155&gt;K155,K155-G155-N155+L155,0)</f>
        <v>0</v>
      </c>
      <c r="N155" s="50" t="n">
        <v>0</v>
      </c>
      <c r="O155" s="50" t="n">
        <f aca="false">(G155-R155-I155-H155)</f>
        <v>589.978008198178</v>
      </c>
      <c r="P155" s="51" t="n">
        <f aca="false">IF(G155 = 0, 0 , (O155/G155))</f>
        <v>0.702271167954027</v>
      </c>
      <c r="Q155" s="50" t="n">
        <f aca="false">SUM(L155:O155)</f>
        <v>589.978008198178</v>
      </c>
      <c r="R155" s="50" t="n">
        <f aca="false">F155*((1+$F$4)^(D155/360)-1)</f>
        <v>207.090741801822</v>
      </c>
      <c r="S155" s="51" t="n">
        <f aca="false">R155/G155</f>
        <v>0.246507251281778</v>
      </c>
      <c r="T155" s="50" t="n">
        <f aca="false">L155+M155+O155+R155+H155+I155</f>
        <v>840.1</v>
      </c>
      <c r="U155" s="50" t="n">
        <f aca="false">F155-O155-M155-L155</f>
        <v>30592.8327787797</v>
      </c>
      <c r="V155" s="2" t="str">
        <f aca="false">IF(M155&gt;0, ROUND(PMT($F$9,$F$10-E155-2,-U155)+$G$2*$F$12/12, 2), "")</f>
        <v/>
      </c>
      <c r="W155" s="2"/>
      <c r="X155" s="2" t="e">
        <f aca="false">IF(V155 &gt; 0, (G155-V155), 0)</f>
        <v>#VALUE!</v>
      </c>
      <c r="Y155" s="2" t="e">
        <f aca="false">X155*(180-E155)-M155</f>
        <v>#VALUE!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15.75" hidden="false" customHeight="true" outlineLevel="0" collapsed="false">
      <c r="A156" s="45" t="s">
        <v>66</v>
      </c>
      <c r="B156" s="46" t="b">
        <f aca="false">FALSE()</f>
        <v>0</v>
      </c>
      <c r="C156" s="47" t="n">
        <v>50087</v>
      </c>
      <c r="D156" s="48" t="n">
        <f aca="false">C156-C155</f>
        <v>31</v>
      </c>
      <c r="E156" s="49" t="n">
        <v>137</v>
      </c>
      <c r="F156" s="50" t="n">
        <f aca="false">IF(U155&gt;0, U155, 0)</f>
        <v>30592.8327787797</v>
      </c>
      <c r="G156" s="50" t="n">
        <f aca="false">IF(AND(V155&lt;&gt;"", V155&lt;$F$7), V155, G155)</f>
        <v>840.1</v>
      </c>
      <c r="H156" s="50" t="n">
        <f aca="false">IF(F156&gt;$F$7, ($G$2*($F$12/12)), 0)</f>
        <v>43.03125</v>
      </c>
      <c r="I156" s="50" t="n">
        <v>0</v>
      </c>
      <c r="J156" s="51" t="n">
        <f aca="false">IF(G156 = 0, 0, (H156+I156)/G156)</f>
        <v>0.0512215807641947</v>
      </c>
      <c r="K156" s="52" t="n">
        <f aca="false">G156</f>
        <v>840.1</v>
      </c>
      <c r="L156" s="50" t="n">
        <v>0</v>
      </c>
      <c r="M156" s="50" t="n">
        <f aca="false">IF(F156&gt;K156,K156-G156-N156+L156,0)</f>
        <v>0</v>
      </c>
      <c r="N156" s="50" t="n">
        <v>0</v>
      </c>
      <c r="O156" s="50" t="n">
        <f aca="false">(G156-R156-I156-H156)</f>
        <v>593.896159906797</v>
      </c>
      <c r="P156" s="51" t="n">
        <f aca="false">IF(G156 = 0, 0 , (O156/G156))</f>
        <v>0.7069350790463</v>
      </c>
      <c r="Q156" s="50" t="n">
        <f aca="false">SUM(L156:O156)</f>
        <v>593.896159906797</v>
      </c>
      <c r="R156" s="50" t="n">
        <f aca="false">F156*((1+$F$4)^(D156/360)-1)</f>
        <v>203.172590093203</v>
      </c>
      <c r="S156" s="51" t="n">
        <f aca="false">R156/G156</f>
        <v>0.241843340189505</v>
      </c>
      <c r="T156" s="50" t="n">
        <f aca="false">L156+M156+O156+R156+H156+I156</f>
        <v>840.1</v>
      </c>
      <c r="U156" s="50" t="n">
        <f aca="false">F156-O156-M156-L156</f>
        <v>29998.9366188729</v>
      </c>
      <c r="V156" s="2" t="str">
        <f aca="false">IF(M156&gt;0, ROUND(PMT($F$9,$F$10-E156-2,-U156)+$G$2*$F$12/12, 2), "")</f>
        <v/>
      </c>
      <c r="W156" s="2"/>
      <c r="X156" s="2" t="e">
        <f aca="false">IF(V156 &gt; 0, (G156-V156), 0)</f>
        <v>#VALUE!</v>
      </c>
      <c r="Y156" s="2" t="e">
        <f aca="false">X156*(180-E156)-M156</f>
        <v>#VALUE!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customFormat="false" ht="15.75" hidden="false" customHeight="true" outlineLevel="0" collapsed="false">
      <c r="A157" s="45" t="s">
        <v>66</v>
      </c>
      <c r="B157" s="46" t="b">
        <f aca="false">FALSE()</f>
        <v>0</v>
      </c>
      <c r="C157" s="47" t="n">
        <v>50115</v>
      </c>
      <c r="D157" s="48" t="n">
        <f aca="false">C157-C156</f>
        <v>28</v>
      </c>
      <c r="E157" s="49" t="n">
        <v>138</v>
      </c>
      <c r="F157" s="50" t="n">
        <f aca="false">IF(U156&gt;0, U156, 0)</f>
        <v>29998.9366188729</v>
      </c>
      <c r="G157" s="50" t="n">
        <f aca="false">IF(AND(V156&lt;&gt;"", V156&lt;$F$7), V156, G156)</f>
        <v>840.1</v>
      </c>
      <c r="H157" s="50" t="n">
        <f aca="false">IF(F157&gt;$F$7, ($G$2*($F$12/12)), 0)</f>
        <v>43.03125</v>
      </c>
      <c r="I157" s="50" t="n">
        <v>0</v>
      </c>
      <c r="J157" s="51" t="n">
        <f aca="false">IF(G157 = 0, 0, (H157+I157)/G157)</f>
        <v>0.0512215807641947</v>
      </c>
      <c r="K157" s="52" t="n">
        <f aca="false">G157</f>
        <v>840.1</v>
      </c>
      <c r="L157" s="50" t="n">
        <v>0</v>
      </c>
      <c r="M157" s="50" t="n">
        <f aca="false">IF(F157&gt;K157,K157-G157-N157+L157,0)</f>
        <v>0</v>
      </c>
      <c r="N157" s="50" t="n">
        <v>0</v>
      </c>
      <c r="O157" s="50" t="n">
        <f aca="false">(G157-R157-I157-H157)</f>
        <v>617.178188201112</v>
      </c>
      <c r="P157" s="51" t="n">
        <f aca="false">IF(G157 = 0, 0 , (O157/G157))</f>
        <v>0.734648480182254</v>
      </c>
      <c r="Q157" s="50" t="n">
        <f aca="false">SUM(L157:O157)</f>
        <v>617.178188201112</v>
      </c>
      <c r="R157" s="50" t="n">
        <f aca="false">F157*((1+$F$4)^(D157/360)-1)</f>
        <v>179.890561798888</v>
      </c>
      <c r="S157" s="51" t="n">
        <f aca="false">R157/G157</f>
        <v>0.214129939053551</v>
      </c>
      <c r="T157" s="50" t="n">
        <f aca="false">L157+M157+O157+R157+H157+I157</f>
        <v>840.1</v>
      </c>
      <c r="U157" s="50" t="n">
        <f aca="false">F157-O157-M157-L157</f>
        <v>29381.7584306718</v>
      </c>
      <c r="V157" s="2" t="str">
        <f aca="false">IF(M157&gt;0, ROUND(PMT($F$9,$F$10-E157-2,-U157)+$G$2*$F$12/12, 2), "")</f>
        <v/>
      </c>
      <c r="W157" s="2"/>
      <c r="X157" s="2" t="e">
        <f aca="false">IF(V157 &gt; 0, (G157-V157), 0)</f>
        <v>#VALUE!</v>
      </c>
      <c r="Y157" s="2" t="e">
        <f aca="false">X157*(180-E157)-M157</f>
        <v>#VALUE!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15.75" hidden="false" customHeight="true" outlineLevel="0" collapsed="false">
      <c r="A158" s="45" t="s">
        <v>66</v>
      </c>
      <c r="B158" s="46" t="b">
        <f aca="false">FALSE()</f>
        <v>0</v>
      </c>
      <c r="C158" s="47" t="n">
        <v>50146</v>
      </c>
      <c r="D158" s="48" t="n">
        <f aca="false">C158-C157</f>
        <v>31</v>
      </c>
      <c r="E158" s="49" t="n">
        <v>139</v>
      </c>
      <c r="F158" s="50" t="n">
        <f aca="false">IF(U157&gt;0, U157, 0)</f>
        <v>29381.7584306718</v>
      </c>
      <c r="G158" s="50" t="n">
        <f aca="false">IF(AND(V157&lt;&gt;"", V157&lt;$F$7), V157, G157)</f>
        <v>840.1</v>
      </c>
      <c r="H158" s="50" t="n">
        <f aca="false">IF(F158&gt;$F$7, ($G$2*($F$12/12)), 0)</f>
        <v>43.03125</v>
      </c>
      <c r="I158" s="50" t="n">
        <v>0</v>
      </c>
      <c r="J158" s="51" t="n">
        <f aca="false">IF(G158 = 0, 0, (H158+I158)/G158)</f>
        <v>0.0512215807641947</v>
      </c>
      <c r="K158" s="52" t="n">
        <f aca="false">G158</f>
        <v>840.1</v>
      </c>
      <c r="L158" s="50" t="n">
        <v>0</v>
      </c>
      <c r="M158" s="50" t="n">
        <f aca="false">IF(F158&gt;K158,K158-G158-N158+L158,0)</f>
        <v>0</v>
      </c>
      <c r="N158" s="50" t="n">
        <v>0</v>
      </c>
      <c r="O158" s="50" t="n">
        <f aca="false">(G158-R158-I158-H158)</f>
        <v>601.939125848519</v>
      </c>
      <c r="P158" s="51" t="n">
        <f aca="false">IF(G158 = 0, 0 , (O158/G158))</f>
        <v>0.716508898760289</v>
      </c>
      <c r="Q158" s="50" t="n">
        <f aca="false">SUM(L158:O158)</f>
        <v>601.939125848519</v>
      </c>
      <c r="R158" s="50" t="n">
        <f aca="false">F158*((1+$F$4)^(D158/360)-1)</f>
        <v>195.129624151481</v>
      </c>
      <c r="S158" s="51" t="n">
        <f aca="false">R158/G158</f>
        <v>0.232269520475516</v>
      </c>
      <c r="T158" s="50" t="n">
        <f aca="false">L158+M158+O158+R158+H158+I158</f>
        <v>840.1</v>
      </c>
      <c r="U158" s="50" t="n">
        <f aca="false">F158-O158-M158-L158</f>
        <v>28779.8193048233</v>
      </c>
      <c r="V158" s="2" t="str">
        <f aca="false">IF(M158&gt;0, ROUND(PMT($F$9,$F$10-E158-2,-U158)+$G$2*$F$12/12, 2), "")</f>
        <v/>
      </c>
      <c r="W158" s="2"/>
      <c r="X158" s="2" t="e">
        <f aca="false">IF(V158 &gt; 0, (G158-V158), 0)</f>
        <v>#VALUE!</v>
      </c>
      <c r="Y158" s="2" t="e">
        <f aca="false">X158*(180-E158)-M158</f>
        <v>#VALUE!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15.75" hidden="false" customHeight="true" outlineLevel="0" collapsed="false">
      <c r="A159" s="45" t="s">
        <v>66</v>
      </c>
      <c r="B159" s="46" t="b">
        <f aca="false">FALSE()</f>
        <v>0</v>
      </c>
      <c r="C159" s="47" t="n">
        <v>50176</v>
      </c>
      <c r="D159" s="48" t="n">
        <f aca="false">C159-C158</f>
        <v>30</v>
      </c>
      <c r="E159" s="49" t="n">
        <v>140</v>
      </c>
      <c r="F159" s="50" t="n">
        <f aca="false">IF(U158&gt;0, U158, 0)</f>
        <v>28779.8193048233</v>
      </c>
      <c r="G159" s="50" t="n">
        <f aca="false">IF(AND(V158&lt;&gt;"", V158&lt;$F$7), V158, G158)</f>
        <v>840.1</v>
      </c>
      <c r="H159" s="50" t="n">
        <f aca="false">IF(F159&gt;$F$7, ($G$2*($F$12/12)), 0)</f>
        <v>43.03125</v>
      </c>
      <c r="I159" s="50" t="n">
        <v>0</v>
      </c>
      <c r="J159" s="51" t="n">
        <f aca="false">IF(G159 = 0, 0, (H159+I159)/G159)</f>
        <v>0.0512215807641947</v>
      </c>
      <c r="K159" s="52" t="n">
        <f aca="false">G159</f>
        <v>840.1</v>
      </c>
      <c r="L159" s="50" t="n">
        <v>0</v>
      </c>
      <c r="M159" s="50" t="n">
        <f aca="false">IF(F159&gt;K159,K159-G159-N159+L159,0)</f>
        <v>0</v>
      </c>
      <c r="N159" s="50" t="n">
        <v>0</v>
      </c>
      <c r="O159" s="50" t="n">
        <f aca="false">(G159-R159-I159-H159)</f>
        <v>612.1220308072</v>
      </c>
      <c r="P159" s="51" t="n">
        <f aca="false">IF(G159 = 0, 0 , (O159/G159))</f>
        <v>0.7286299616798</v>
      </c>
      <c r="Q159" s="50" t="n">
        <f aca="false">SUM(L159:O159)</f>
        <v>612.1220308072</v>
      </c>
      <c r="R159" s="50" t="n">
        <f aca="false">F159*((1+$F$4)^(D159/360)-1)</f>
        <v>184.9467191928</v>
      </c>
      <c r="S159" s="51" t="n">
        <f aca="false">R159/G159</f>
        <v>0.220148457556005</v>
      </c>
      <c r="T159" s="50" t="n">
        <f aca="false">L159+M159+O159+R159+H159+I159</f>
        <v>840.1</v>
      </c>
      <c r="U159" s="50" t="n">
        <f aca="false">F159-O159-M159-L159</f>
        <v>28167.6972740161</v>
      </c>
      <c r="V159" s="2" t="str">
        <f aca="false">IF(M159&gt;0, ROUND(PMT($F$9,$F$10-E159-2,-U159)+$G$2*$F$12/12, 2), "")</f>
        <v/>
      </c>
      <c r="W159" s="2"/>
      <c r="X159" s="2" t="e">
        <f aca="false">IF(V159 &gt; 0, (G159-V159), 0)</f>
        <v>#VALUE!</v>
      </c>
      <c r="Y159" s="2" t="e">
        <f aca="false">X159*(180-E159)-M159</f>
        <v>#VALUE!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15.75" hidden="false" customHeight="true" outlineLevel="0" collapsed="false">
      <c r="A160" s="45" t="s">
        <v>66</v>
      </c>
      <c r="B160" s="46" t="b">
        <f aca="false">FALSE()</f>
        <v>0</v>
      </c>
      <c r="C160" s="47" t="n">
        <v>50207</v>
      </c>
      <c r="D160" s="48" t="n">
        <f aca="false">C160-C159</f>
        <v>31</v>
      </c>
      <c r="E160" s="49" t="n">
        <v>141</v>
      </c>
      <c r="F160" s="50" t="n">
        <f aca="false">IF(U159&gt;0, U159, 0)</f>
        <v>28167.6972740161</v>
      </c>
      <c r="G160" s="50" t="n">
        <f aca="false">IF(AND(V159&lt;&gt;"", V159&lt;$F$7), V159, G159)</f>
        <v>840.1</v>
      </c>
      <c r="H160" s="50" t="n">
        <f aca="false">IF(F160&gt;$F$7, ($G$2*($F$12/12)), 0)</f>
        <v>43.03125</v>
      </c>
      <c r="I160" s="50" t="n">
        <v>0</v>
      </c>
      <c r="J160" s="51" t="n">
        <f aca="false">IF(G160 = 0, 0, (H160+I160)/G160)</f>
        <v>0.0512215807641947</v>
      </c>
      <c r="K160" s="52" t="n">
        <f aca="false">G160</f>
        <v>840.1</v>
      </c>
      <c r="L160" s="50" t="n">
        <v>0</v>
      </c>
      <c r="M160" s="50" t="n">
        <f aca="false">IF(F160&gt;K160,K160-G160-N160+L160,0)</f>
        <v>0</v>
      </c>
      <c r="N160" s="50" t="n">
        <v>0</v>
      </c>
      <c r="O160" s="50" t="n">
        <f aca="false">(G160-R160-I160-H160)</f>
        <v>610.001927731331</v>
      </c>
      <c r="P160" s="51" t="n">
        <f aca="false">IF(G160 = 0, 0 , (O160/G160))</f>
        <v>0.726106329878979</v>
      </c>
      <c r="Q160" s="50" t="n">
        <f aca="false">SUM(L160:O160)</f>
        <v>610.001927731331</v>
      </c>
      <c r="R160" s="50" t="n">
        <f aca="false">F160*((1+$F$4)^(D160/360)-1)</f>
        <v>187.06682226867</v>
      </c>
      <c r="S160" s="51" t="n">
        <f aca="false">R160/G160</f>
        <v>0.222672089356826</v>
      </c>
      <c r="T160" s="50" t="n">
        <f aca="false">L160+M160+O160+R160+H160+I160</f>
        <v>840.1</v>
      </c>
      <c r="U160" s="50" t="n">
        <f aca="false">F160-O160-M160-L160</f>
        <v>27557.6953462847</v>
      </c>
      <c r="V160" s="2" t="str">
        <f aca="false">IF(M160&gt;0, ROUND(PMT($F$9,$F$10-E160-2,-U160)+$G$2*$F$12/12, 2), "")</f>
        <v/>
      </c>
      <c r="W160" s="2"/>
      <c r="X160" s="2" t="e">
        <f aca="false">IF(V160 &gt; 0, (G160-V160), 0)</f>
        <v>#VALUE!</v>
      </c>
      <c r="Y160" s="2" t="e">
        <f aca="false">X160*(180-E160)-M160</f>
        <v>#VALUE!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15.75" hidden="false" customHeight="true" outlineLevel="0" collapsed="false">
      <c r="A161" s="45" t="s">
        <v>66</v>
      </c>
      <c r="B161" s="46" t="b">
        <f aca="false">FALSE()</f>
        <v>0</v>
      </c>
      <c r="C161" s="47" t="n">
        <v>50237</v>
      </c>
      <c r="D161" s="48" t="n">
        <f aca="false">C161-C160</f>
        <v>30</v>
      </c>
      <c r="E161" s="49" t="n">
        <v>142</v>
      </c>
      <c r="F161" s="50" t="n">
        <f aca="false">IF(U160&gt;0, U160, 0)</f>
        <v>27557.6953462847</v>
      </c>
      <c r="G161" s="50" t="n">
        <f aca="false">IF(AND(V160&lt;&gt;"", V160&lt;$F$7), V160, G160)</f>
        <v>840.1</v>
      </c>
      <c r="H161" s="50" t="n">
        <f aca="false">IF(F161&gt;$F$7, ($G$2*($F$12/12)), 0)</f>
        <v>43.03125</v>
      </c>
      <c r="I161" s="50" t="n">
        <v>0</v>
      </c>
      <c r="J161" s="51" t="n">
        <f aca="false">IF(G161 = 0, 0, (H161+I161)/G161)</f>
        <v>0.0512215807641947</v>
      </c>
      <c r="K161" s="52" t="n">
        <f aca="false">G161</f>
        <v>840.1</v>
      </c>
      <c r="L161" s="50" t="n">
        <v>0</v>
      </c>
      <c r="M161" s="50" t="n">
        <f aca="false">IF(F161&gt;K161,K161-G161-N161+L161,0)</f>
        <v>0</v>
      </c>
      <c r="N161" s="50" t="n">
        <v>0</v>
      </c>
      <c r="O161" s="50" t="n">
        <f aca="false">(G161-R161-I161-H161)</f>
        <v>619.975722110284</v>
      </c>
      <c r="P161" s="51" t="n">
        <f aca="false">IF(G161 = 0, 0 , (O161/G161))</f>
        <v>0.737978481264473</v>
      </c>
      <c r="Q161" s="50" t="n">
        <f aca="false">SUM(L161:O161)</f>
        <v>619.975722110284</v>
      </c>
      <c r="R161" s="50" t="n">
        <f aca="false">F161*((1+$F$4)^(D161/360)-1)</f>
        <v>177.093027889716</v>
      </c>
      <c r="S161" s="51" t="n">
        <f aca="false">R161/G161</f>
        <v>0.210799937971332</v>
      </c>
      <c r="T161" s="50" t="n">
        <f aca="false">L161+M161+O161+R161+H161+I161</f>
        <v>840.1</v>
      </c>
      <c r="U161" s="50" t="n">
        <f aca="false">F161-O161-M161-L161</f>
        <v>26937.7196241745</v>
      </c>
      <c r="V161" s="2" t="str">
        <f aca="false">IF(M161&gt;0, ROUND(PMT($F$9,$F$10-E161-2,-U161)+$G$2*$F$12/12, 2), "")</f>
        <v/>
      </c>
      <c r="W161" s="2"/>
      <c r="X161" s="2" t="e">
        <f aca="false">IF(V161 &gt; 0, (G161-V161), 0)</f>
        <v>#VALUE!</v>
      </c>
      <c r="Y161" s="2" t="e">
        <f aca="false">X161*(180-E161)-M161</f>
        <v>#VALUE!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15.75" hidden="false" customHeight="true" outlineLevel="0" collapsed="false">
      <c r="A162" s="45" t="s">
        <v>66</v>
      </c>
      <c r="B162" s="46" t="b">
        <f aca="false">FALSE()</f>
        <v>0</v>
      </c>
      <c r="C162" s="47" t="n">
        <v>50268</v>
      </c>
      <c r="D162" s="48" t="n">
        <f aca="false">C162-C161</f>
        <v>31</v>
      </c>
      <c r="E162" s="49" t="n">
        <v>143</v>
      </c>
      <c r="F162" s="50" t="n">
        <f aca="false">IF(U161&gt;0, U161, 0)</f>
        <v>26937.7196241745</v>
      </c>
      <c r="G162" s="50" t="n">
        <f aca="false">IF(AND(V161&lt;&gt;"", V161&lt;$F$7), V161, G161)</f>
        <v>840.1</v>
      </c>
      <c r="H162" s="50" t="n">
        <f aca="false">IF(F162&gt;$F$7, ($G$2*($F$12/12)), 0)</f>
        <v>43.03125</v>
      </c>
      <c r="I162" s="50" t="n">
        <v>0</v>
      </c>
      <c r="J162" s="51" t="n">
        <f aca="false">IF(G162 = 0, 0, (H162+I162)/G162)</f>
        <v>0.0512215807641947</v>
      </c>
      <c r="K162" s="52" t="n">
        <f aca="false">G162</f>
        <v>840.1</v>
      </c>
      <c r="L162" s="50" t="n">
        <v>0</v>
      </c>
      <c r="M162" s="50" t="n">
        <f aca="false">IF(F162&gt;K162,K162-G162-N162+L162,0)</f>
        <v>0</v>
      </c>
      <c r="N162" s="50" t="n">
        <v>0</v>
      </c>
      <c r="O162" s="50" t="n">
        <f aca="false">(G162-R162-I162-H162)</f>
        <v>618.170433952448</v>
      </c>
      <c r="P162" s="51" t="n">
        <f aca="false">IF(G162 = 0, 0 , (O162/G162))</f>
        <v>0.735829584516662</v>
      </c>
      <c r="Q162" s="50" t="n">
        <f aca="false">SUM(L162:O162)</f>
        <v>618.170433952448</v>
      </c>
      <c r="R162" s="50" t="n">
        <f aca="false">F162*((1+$F$4)^(D162/360)-1)</f>
        <v>178.898316047552</v>
      </c>
      <c r="S162" s="51" t="n">
        <f aca="false">R162/G162</f>
        <v>0.212948834719143</v>
      </c>
      <c r="T162" s="50" t="n">
        <f aca="false">L162+M162+O162+R162+H162+I162</f>
        <v>840.1</v>
      </c>
      <c r="U162" s="50" t="n">
        <f aca="false">F162-O162-M162-L162</f>
        <v>26319.549190222</v>
      </c>
      <c r="V162" s="2" t="str">
        <f aca="false">IF(M162&gt;0, ROUND(PMT($F$9,$F$10-E162-2,-U162)+$G$2*$F$12/12, 2), "")</f>
        <v/>
      </c>
      <c r="W162" s="2"/>
      <c r="X162" s="2" t="e">
        <f aca="false">IF(V162 &gt; 0, (G162-V162), 0)</f>
        <v>#VALUE!</v>
      </c>
      <c r="Y162" s="2" t="e">
        <f aca="false">X162*(180-E162)-M162</f>
        <v>#VALUE!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customFormat="false" ht="15.75" hidden="false" customHeight="true" outlineLevel="0" collapsed="false">
      <c r="A163" s="45" t="s">
        <v>66</v>
      </c>
      <c r="B163" s="46" t="b">
        <f aca="false">FALSE()</f>
        <v>0</v>
      </c>
      <c r="C163" s="47" t="n">
        <v>50299</v>
      </c>
      <c r="D163" s="48" t="n">
        <f aca="false">C163-C162</f>
        <v>31</v>
      </c>
      <c r="E163" s="49" t="n">
        <v>144</v>
      </c>
      <c r="F163" s="50" t="n">
        <f aca="false">IF(U162&gt;0, U162, 0)</f>
        <v>26319.549190222</v>
      </c>
      <c r="G163" s="50" t="n">
        <f aca="false">IF(AND(V162&lt;&gt;"", V162&lt;$F$7), V162, G162)</f>
        <v>840.1</v>
      </c>
      <c r="H163" s="50" t="n">
        <f aca="false">IF(F163&gt;$F$7, ($G$2*($F$12/12)), 0)</f>
        <v>43.03125</v>
      </c>
      <c r="I163" s="50" t="n">
        <v>0</v>
      </c>
      <c r="J163" s="51" t="n">
        <f aca="false">IF(G163 = 0, 0, (H163+I163)/G163)</f>
        <v>0.0512215807641947</v>
      </c>
      <c r="K163" s="52" t="n">
        <f aca="false">G163</f>
        <v>840.1</v>
      </c>
      <c r="L163" s="50" t="n">
        <v>0</v>
      </c>
      <c r="M163" s="50" t="n">
        <f aca="false">IF(F163&gt;K163,K163-G163-N163+L163,0)</f>
        <v>0</v>
      </c>
      <c r="N163" s="50" t="n">
        <v>0</v>
      </c>
      <c r="O163" s="50" t="n">
        <f aca="false">(G163-R163-I163-H163)</f>
        <v>622.275816709689</v>
      </c>
      <c r="P163" s="51" t="n">
        <f aca="false">IF(G163 = 0, 0 , (O163/G163))</f>
        <v>0.740716363182584</v>
      </c>
      <c r="Q163" s="50" t="n">
        <f aca="false">SUM(L163:O163)</f>
        <v>622.275816709689</v>
      </c>
      <c r="R163" s="50" t="n">
        <f aca="false">F163*((1+$F$4)^(D163/360)-1)</f>
        <v>174.792933290311</v>
      </c>
      <c r="S163" s="51" t="n">
        <f aca="false">R163/G163</f>
        <v>0.208062056053221</v>
      </c>
      <c r="T163" s="50" t="n">
        <f aca="false">L163+M163+O163+R163+H163+I163</f>
        <v>840.1</v>
      </c>
      <c r="U163" s="50" t="n">
        <f aca="false">F163-O163-M163-L163</f>
        <v>25697.2733735123</v>
      </c>
      <c r="V163" s="2" t="str">
        <f aca="false">IF(M163&gt;0, ROUND(PMT($F$9,$F$10-E163-2,-U163)+$G$2*$F$12/12, 2), "")</f>
        <v/>
      </c>
      <c r="W163" s="2"/>
      <c r="X163" s="2" t="e">
        <f aca="false">IF(V163 &gt; 0, (G163-V163), 0)</f>
        <v>#VALUE!</v>
      </c>
      <c r="Y163" s="2" t="e">
        <f aca="false">X163*(180-E163)-M163</f>
        <v>#VALUE!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15.75" hidden="false" customHeight="true" outlineLevel="0" collapsed="false">
      <c r="A164" s="45" t="s">
        <v>66</v>
      </c>
      <c r="B164" s="46" t="b">
        <f aca="false">FALSE()</f>
        <v>0</v>
      </c>
      <c r="C164" s="47" t="n">
        <v>50329</v>
      </c>
      <c r="D164" s="48" t="n">
        <f aca="false">C164-C163</f>
        <v>30</v>
      </c>
      <c r="E164" s="49" t="n">
        <v>145</v>
      </c>
      <c r="F164" s="50" t="n">
        <f aca="false">IF(U163&gt;0, U163, 0)</f>
        <v>25697.2733735123</v>
      </c>
      <c r="G164" s="50" t="n">
        <f aca="false">IF(AND(V163&lt;&gt;"", V163&lt;$F$7), V163, G163)</f>
        <v>840.1</v>
      </c>
      <c r="H164" s="50" t="n">
        <f aca="false">IF(F164&gt;$F$7, ($G$2*($F$12/12)), 0)</f>
        <v>43.03125</v>
      </c>
      <c r="I164" s="50" t="n">
        <v>0</v>
      </c>
      <c r="J164" s="51" t="n">
        <f aca="false">IF(G164 = 0, 0, (H164+I164)/G164)</f>
        <v>0.0512215807641947</v>
      </c>
      <c r="K164" s="52" t="n">
        <f aca="false">G164</f>
        <v>840.1</v>
      </c>
      <c r="L164" s="50" t="n">
        <v>0</v>
      </c>
      <c r="M164" s="50" t="n">
        <f aca="false">IF(F164&gt;K164,K164-G164-N164+L164,0)</f>
        <v>0</v>
      </c>
      <c r="N164" s="50" t="n">
        <v>0</v>
      </c>
      <c r="O164" s="50" t="n">
        <f aca="false">(G164-R164-I164-H164)</f>
        <v>631.931285018241</v>
      </c>
      <c r="P164" s="51" t="n">
        <f aca="false">IF(G164 = 0, 0 , (O164/G164))</f>
        <v>0.752209600069327</v>
      </c>
      <c r="Q164" s="50" t="n">
        <f aca="false">SUM(L164:O164)</f>
        <v>631.931285018241</v>
      </c>
      <c r="R164" s="50" t="n">
        <f aca="false">F164*((1+$F$4)^(D164/360)-1)</f>
        <v>165.137464981759</v>
      </c>
      <c r="S164" s="51" t="n">
        <f aca="false">R164/G164</f>
        <v>0.196568819166479</v>
      </c>
      <c r="T164" s="50" t="n">
        <f aca="false">L164+M164+O164+R164+H164+I164</f>
        <v>840.1</v>
      </c>
      <c r="U164" s="50" t="n">
        <f aca="false">F164-O164-M164-L164</f>
        <v>25065.3420884941</v>
      </c>
      <c r="V164" s="2" t="str">
        <f aca="false">IF(M164&gt;0, ROUND(PMT($F$9,$F$10-E164-2,-U164)+$G$2*$F$12/12, 2), "")</f>
        <v/>
      </c>
      <c r="W164" s="2"/>
      <c r="X164" s="2" t="e">
        <f aca="false">IF(V164 &gt; 0, (G164-V164), 0)</f>
        <v>#VALUE!</v>
      </c>
      <c r="Y164" s="2" t="e">
        <f aca="false">X164*(180-E164)-M164</f>
        <v>#VALUE!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15.75" hidden="false" customHeight="true" outlineLevel="0" collapsed="false">
      <c r="A165" s="45" t="s">
        <v>66</v>
      </c>
      <c r="B165" s="46" t="b">
        <f aca="false">FALSE()</f>
        <v>0</v>
      </c>
      <c r="C165" s="47" t="n">
        <v>50360</v>
      </c>
      <c r="D165" s="48" t="n">
        <f aca="false">C165-C164</f>
        <v>31</v>
      </c>
      <c r="E165" s="49" t="n">
        <v>146</v>
      </c>
      <c r="F165" s="50" t="n">
        <f aca="false">IF(U164&gt;0, U164, 0)</f>
        <v>25065.3420884941</v>
      </c>
      <c r="G165" s="50" t="n">
        <f aca="false">IF(AND(V164&lt;&gt;"", V164&lt;$F$7), V164, G164)</f>
        <v>840.1</v>
      </c>
      <c r="H165" s="50" t="n">
        <f aca="false">IF(F165&gt;$F$7, ($G$2*($F$12/12)), 0)</f>
        <v>43.03125</v>
      </c>
      <c r="I165" s="50" t="n">
        <v>0</v>
      </c>
      <c r="J165" s="51" t="n">
        <f aca="false">IF(G165 = 0, 0, (H165+I165)/G165)</f>
        <v>0.0512215807641947</v>
      </c>
      <c r="K165" s="52" t="n">
        <f aca="false">G165</f>
        <v>840.1</v>
      </c>
      <c r="L165" s="50" t="n">
        <v>0</v>
      </c>
      <c r="M165" s="50" t="n">
        <f aca="false">IF(F165&gt;K165,K165-G165-N165+L165,0)</f>
        <v>0</v>
      </c>
      <c r="N165" s="50" t="n">
        <v>0</v>
      </c>
      <c r="O165" s="50" t="n">
        <f aca="false">(G165-R165-I165-H165)</f>
        <v>630.605235146157</v>
      </c>
      <c r="P165" s="51" t="n">
        <f aca="false">IF(G165 = 0, 0 , (O165/G165))</f>
        <v>0.750631157179094</v>
      </c>
      <c r="Q165" s="50" t="n">
        <f aca="false">SUM(L165:O165)</f>
        <v>630.605235146157</v>
      </c>
      <c r="R165" s="50" t="n">
        <f aca="false">F165*((1+$F$4)^(D165/360)-1)</f>
        <v>166.463514853843</v>
      </c>
      <c r="S165" s="51" t="n">
        <f aca="false">R165/G165</f>
        <v>0.198147262056711</v>
      </c>
      <c r="T165" s="50" t="n">
        <f aca="false">L165+M165+O165+R165+H165+I165</f>
        <v>840.1</v>
      </c>
      <c r="U165" s="50" t="n">
        <f aca="false">F165-O165-M165-L165</f>
        <v>24434.7368533479</v>
      </c>
      <c r="V165" s="2" t="str">
        <f aca="false">IF(M165&gt;0, ROUND(PMT($F$9,$F$10-E165-2,-U165)+$G$2*$F$12/12, 2), "")</f>
        <v/>
      </c>
      <c r="W165" s="2"/>
      <c r="X165" s="2" t="e">
        <f aca="false">IF(V165 &gt; 0, (G165-V165), 0)</f>
        <v>#VALUE!</v>
      </c>
      <c r="Y165" s="2" t="e">
        <f aca="false">X165*(180-E165)-M165</f>
        <v>#VALUE!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15.75" hidden="false" customHeight="true" outlineLevel="0" collapsed="false">
      <c r="A166" s="45" t="s">
        <v>66</v>
      </c>
      <c r="B166" s="46" t="b">
        <f aca="false">FALSE()</f>
        <v>0</v>
      </c>
      <c r="C166" s="47" t="n">
        <v>50390</v>
      </c>
      <c r="D166" s="48" t="n">
        <f aca="false">C166-C165</f>
        <v>30</v>
      </c>
      <c r="E166" s="49" t="n">
        <v>147</v>
      </c>
      <c r="F166" s="50" t="n">
        <f aca="false">IF(U165&gt;0, U165, 0)</f>
        <v>24434.7368533479</v>
      </c>
      <c r="G166" s="50" t="n">
        <f aca="false">IF(AND(V165&lt;&gt;"", V165&lt;$F$7), V165, G165)</f>
        <v>840.1</v>
      </c>
      <c r="H166" s="50" t="n">
        <f aca="false">IF(F166&gt;$F$7, ($G$2*($F$12/12)), 0)</f>
        <v>43.03125</v>
      </c>
      <c r="I166" s="50" t="n">
        <v>0</v>
      </c>
      <c r="J166" s="51" t="n">
        <f aca="false">IF(G166 = 0, 0, (H166+I166)/G166)</f>
        <v>0.0512215807641947</v>
      </c>
      <c r="K166" s="52" t="n">
        <f aca="false">G166</f>
        <v>840.1</v>
      </c>
      <c r="L166" s="50" t="n">
        <v>0</v>
      </c>
      <c r="M166" s="50" t="n">
        <f aca="false">IF(F166&gt;K166,K166-G166-N166+L166,0)</f>
        <v>0</v>
      </c>
      <c r="N166" s="50" t="n">
        <v>0</v>
      </c>
      <c r="O166" s="50" t="n">
        <f aca="false">(G166-R166-I166-H166)</f>
        <v>640.044678114715</v>
      </c>
      <c r="P166" s="51" t="n">
        <f aca="false">IF(G166 = 0, 0 , (O166/G166))</f>
        <v>0.761867251654225</v>
      </c>
      <c r="Q166" s="50" t="n">
        <f aca="false">SUM(L166:O166)</f>
        <v>640.044678114715</v>
      </c>
      <c r="R166" s="50" t="n">
        <f aca="false">F166*((1+$F$4)^(D166/360)-1)</f>
        <v>157.024071885286</v>
      </c>
      <c r="S166" s="51" t="n">
        <f aca="false">R166/G166</f>
        <v>0.18691116758158</v>
      </c>
      <c r="T166" s="50" t="n">
        <f aca="false">L166+M166+O166+R166+H166+I166</f>
        <v>840.1</v>
      </c>
      <c r="U166" s="50" t="n">
        <f aca="false">F166-O166-M166-L166</f>
        <v>23794.6921752332</v>
      </c>
      <c r="V166" s="2" t="str">
        <f aca="false">IF(M166&gt;0, ROUND(PMT($F$9,$F$10-E166-2,-U166)+$G$2*$F$12/12, 2), "")</f>
        <v/>
      </c>
      <c r="W166" s="2"/>
      <c r="X166" s="2" t="e">
        <f aca="false">IF(V166 &gt; 0, (G166-V166), 0)</f>
        <v>#VALUE!</v>
      </c>
      <c r="Y166" s="2" t="e">
        <f aca="false">X166*(180-E166)-M166</f>
        <v>#VALUE!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15.75" hidden="false" customHeight="true" outlineLevel="0" collapsed="false">
      <c r="A167" s="45" t="s">
        <v>66</v>
      </c>
      <c r="B167" s="46" t="b">
        <f aca="false">FALSE()</f>
        <v>0</v>
      </c>
      <c r="C167" s="47" t="n">
        <v>50421</v>
      </c>
      <c r="D167" s="48" t="n">
        <f aca="false">C167-C166</f>
        <v>31</v>
      </c>
      <c r="E167" s="49" t="n">
        <v>148</v>
      </c>
      <c r="F167" s="50" t="n">
        <f aca="false">IF(U166&gt;0, U166, 0)</f>
        <v>23794.6921752332</v>
      </c>
      <c r="G167" s="50" t="n">
        <f aca="false">IF(AND(V166&lt;&gt;"", V166&lt;$F$7), V166, G166)</f>
        <v>840.1</v>
      </c>
      <c r="H167" s="50" t="n">
        <f aca="false">IF(F167&gt;$F$7, ($G$2*($F$12/12)), 0)</f>
        <v>43.03125</v>
      </c>
      <c r="I167" s="50" t="n">
        <v>0</v>
      </c>
      <c r="J167" s="51" t="n">
        <f aca="false">IF(G167 = 0, 0, (H167+I167)/G167)</f>
        <v>0.0512215807641947</v>
      </c>
      <c r="K167" s="52" t="n">
        <f aca="false">G167</f>
        <v>840.1</v>
      </c>
      <c r="L167" s="50" t="n">
        <v>0</v>
      </c>
      <c r="M167" s="50" t="n">
        <f aca="false">IF(F167&gt;K167,K167-G167-N167+L167,0)</f>
        <v>0</v>
      </c>
      <c r="N167" s="50" t="n">
        <v>0</v>
      </c>
      <c r="O167" s="50" t="n">
        <f aca="false">(G167-R167-I167-H167)</f>
        <v>639.043853297203</v>
      </c>
      <c r="P167" s="51" t="n">
        <f aca="false">IF(G167 = 0, 0 , (O167/G167))</f>
        <v>0.760675935361508</v>
      </c>
      <c r="Q167" s="50" t="n">
        <f aca="false">SUM(L167:O167)</f>
        <v>639.043853297203</v>
      </c>
      <c r="R167" s="50" t="n">
        <f aca="false">F167*((1+$F$4)^(D167/360)-1)</f>
        <v>158.024896702797</v>
      </c>
      <c r="S167" s="51" t="n">
        <f aca="false">R167/G167</f>
        <v>0.188102483874297</v>
      </c>
      <c r="T167" s="50" t="n">
        <f aca="false">L167+M167+O167+R167+H167+I167</f>
        <v>840.1</v>
      </c>
      <c r="U167" s="50" t="n">
        <f aca="false">F167-O167-M167-L167</f>
        <v>23155.648321936</v>
      </c>
      <c r="V167" s="2" t="str">
        <f aca="false">IF(M167&gt;0, ROUND(PMT($F$9,$F$10-E167-2,-U167)+$G$2*$F$12/12, 2), "")</f>
        <v/>
      </c>
      <c r="W167" s="2"/>
      <c r="X167" s="2" t="e">
        <f aca="false">IF(V167 &gt; 0, (G167-V167), 0)</f>
        <v>#VALUE!</v>
      </c>
      <c r="Y167" s="2" t="e">
        <f aca="false">X167*(180-E167)-M167</f>
        <v>#VALUE!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15.75" hidden="false" customHeight="true" outlineLevel="0" collapsed="false">
      <c r="A168" s="45" t="s">
        <v>66</v>
      </c>
      <c r="B168" s="46" t="b">
        <f aca="false">FALSE()</f>
        <v>0</v>
      </c>
      <c r="C168" s="47" t="n">
        <v>50452</v>
      </c>
      <c r="D168" s="48" t="n">
        <f aca="false">C168-C167</f>
        <v>31</v>
      </c>
      <c r="E168" s="49" t="n">
        <v>149</v>
      </c>
      <c r="F168" s="50" t="n">
        <f aca="false">IF(U167&gt;0, U167, 0)</f>
        <v>23155.648321936</v>
      </c>
      <c r="G168" s="50" t="n">
        <f aca="false">IF(AND(V167&lt;&gt;"", V167&lt;$F$7), V167, G167)</f>
        <v>840.1</v>
      </c>
      <c r="H168" s="50" t="n">
        <f aca="false">IF(F168&gt;$F$7, ($G$2*($F$12/12)), 0)</f>
        <v>43.03125</v>
      </c>
      <c r="I168" s="50" t="n">
        <v>0</v>
      </c>
      <c r="J168" s="51" t="n">
        <f aca="false">IF(G168 = 0, 0, (H168+I168)/G168)</f>
        <v>0.0512215807641947</v>
      </c>
      <c r="K168" s="52" t="n">
        <f aca="false">G168</f>
        <v>840.1</v>
      </c>
      <c r="L168" s="50" t="n">
        <v>0</v>
      </c>
      <c r="M168" s="50" t="n">
        <f aca="false">IF(F168&gt;K168,K168-G168-N168+L168,0)</f>
        <v>0</v>
      </c>
      <c r="N168" s="50" t="n">
        <v>0</v>
      </c>
      <c r="O168" s="50" t="n">
        <f aca="false">(G168-R168-I168-H168)</f>
        <v>643.287860244725</v>
      </c>
      <c r="P168" s="51" t="n">
        <f aca="false">IF(G168 = 0, 0 , (O168/G168))</f>
        <v>0.765727723181437</v>
      </c>
      <c r="Q168" s="50" t="n">
        <f aca="false">SUM(L168:O168)</f>
        <v>643.287860244725</v>
      </c>
      <c r="R168" s="50" t="n">
        <f aca="false">F168*((1+$F$4)^(D168/360)-1)</f>
        <v>153.780889755275</v>
      </c>
      <c r="S168" s="51" t="n">
        <f aca="false">R168/G168</f>
        <v>0.183050696054368</v>
      </c>
      <c r="T168" s="50" t="n">
        <f aca="false">L168+M168+O168+R168+H168+I168</f>
        <v>840.1</v>
      </c>
      <c r="U168" s="50" t="n">
        <f aca="false">F168-O168-M168-L168</f>
        <v>22512.3604616913</v>
      </c>
      <c r="V168" s="2" t="str">
        <f aca="false">IF(M168&gt;0, ROUND(PMT($F$9,$F$10-E168-2,-U168)+$G$2*$F$12/12, 2), "")</f>
        <v/>
      </c>
      <c r="W168" s="2"/>
      <c r="X168" s="2" t="e">
        <f aca="false">IF(V168 &gt; 0, (G168-V168), 0)</f>
        <v>#VALUE!</v>
      </c>
      <c r="Y168" s="2" t="e">
        <f aca="false">X168*(180-E168)-M168</f>
        <v>#VALUE!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customFormat="false" ht="15.75" hidden="false" customHeight="true" outlineLevel="0" collapsed="false">
      <c r="A169" s="45" t="s">
        <v>66</v>
      </c>
      <c r="B169" s="46" t="b">
        <f aca="false">FALSE()</f>
        <v>0</v>
      </c>
      <c r="C169" s="47" t="n">
        <v>50480</v>
      </c>
      <c r="D169" s="48" t="n">
        <f aca="false">C169-C168</f>
        <v>28</v>
      </c>
      <c r="E169" s="49" t="n">
        <v>150</v>
      </c>
      <c r="F169" s="50" t="n">
        <f aca="false">IF(U168&gt;0, U168, 0)</f>
        <v>22512.3604616913</v>
      </c>
      <c r="G169" s="50" t="n">
        <f aca="false">IF(AND(V168&lt;&gt;"", V168&lt;$F$7), V168, G168)</f>
        <v>840.1</v>
      </c>
      <c r="H169" s="50" t="n">
        <f aca="false">IF(F169&gt;$F$7, ($G$2*($F$12/12)), 0)</f>
        <v>43.03125</v>
      </c>
      <c r="I169" s="50" t="n">
        <v>0</v>
      </c>
      <c r="J169" s="51" t="n">
        <f aca="false">IF(G169 = 0, 0, (H169+I169)/G169)</f>
        <v>0.0512215807641947</v>
      </c>
      <c r="K169" s="52" t="n">
        <f aca="false">G169</f>
        <v>840.1</v>
      </c>
      <c r="L169" s="50" t="n">
        <v>0</v>
      </c>
      <c r="M169" s="50" t="n">
        <f aca="false">IF(F169&gt;K169,K169-G169-N169+L169,0)</f>
        <v>0</v>
      </c>
      <c r="N169" s="50" t="n">
        <v>0</v>
      </c>
      <c r="O169" s="50" t="n">
        <f aca="false">(G169-R169-I169-H169)</f>
        <v>662.071925868409</v>
      </c>
      <c r="P169" s="51" t="n">
        <f aca="false">IF(G169 = 0, 0 , (O169/G169))</f>
        <v>0.788087044242839</v>
      </c>
      <c r="Q169" s="50" t="n">
        <f aca="false">SUM(L169:O169)</f>
        <v>662.071925868409</v>
      </c>
      <c r="R169" s="50" t="n">
        <f aca="false">F169*((1+$F$4)^(D169/360)-1)</f>
        <v>134.996824131591</v>
      </c>
      <c r="S169" s="51" t="n">
        <f aca="false">R169/G169</f>
        <v>0.160691374992966</v>
      </c>
      <c r="T169" s="50" t="n">
        <f aca="false">L169+M169+O169+R169+H169+I169</f>
        <v>840.1</v>
      </c>
      <c r="U169" s="50" t="n">
        <f aca="false">F169-O169-M169-L169</f>
        <v>21850.2885358229</v>
      </c>
      <c r="V169" s="2" t="str">
        <f aca="false">IF(M169&gt;0, ROUND(PMT($F$9,$F$10-E169-2,-U169)+$G$2*$F$12/12, 2), "")</f>
        <v/>
      </c>
      <c r="W169" s="2"/>
      <c r="X169" s="2" t="e">
        <f aca="false">IF(V169 &gt; 0, (G169-V169), 0)</f>
        <v>#VALUE!</v>
      </c>
      <c r="Y169" s="2" t="e">
        <f aca="false">X169*(180-E169)-M169</f>
        <v>#VALUE!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15.75" hidden="false" customHeight="true" outlineLevel="0" collapsed="false">
      <c r="A170" s="45" t="s">
        <v>66</v>
      </c>
      <c r="B170" s="46" t="b">
        <f aca="false">FALSE()</f>
        <v>0</v>
      </c>
      <c r="C170" s="47" t="n">
        <v>50511</v>
      </c>
      <c r="D170" s="48" t="n">
        <f aca="false">C170-C169</f>
        <v>31</v>
      </c>
      <c r="E170" s="49" t="n">
        <v>151</v>
      </c>
      <c r="F170" s="50" t="n">
        <f aca="false">IF(U169&gt;0, U169, 0)</f>
        <v>21850.2885358229</v>
      </c>
      <c r="G170" s="50" t="n">
        <f aca="false">IF(AND(V169&lt;&gt;"", V169&lt;$F$7), V169, G169)</f>
        <v>840.1</v>
      </c>
      <c r="H170" s="50" t="n">
        <f aca="false">IF(F170&gt;$F$7, ($G$2*($F$12/12)), 0)</f>
        <v>43.03125</v>
      </c>
      <c r="I170" s="50" t="n">
        <v>0</v>
      </c>
      <c r="J170" s="51" t="n">
        <f aca="false">IF(G170 = 0, 0, (H170+I170)/G170)</f>
        <v>0.0512215807641947</v>
      </c>
      <c r="K170" s="52" t="n">
        <f aca="false">G170</f>
        <v>840.1</v>
      </c>
      <c r="L170" s="50" t="n">
        <v>0</v>
      </c>
      <c r="M170" s="50" t="n">
        <f aca="false">IF(F170&gt;K170,K170-G170-N170+L170,0)</f>
        <v>0</v>
      </c>
      <c r="N170" s="50" t="n">
        <v>0</v>
      </c>
      <c r="O170" s="50" t="n">
        <f aca="false">(G170-R170-I170-H170)</f>
        <v>651.956993000947</v>
      </c>
      <c r="P170" s="51" t="n">
        <f aca="false">IF(G170 = 0, 0 , (O170/G170))</f>
        <v>0.776046890847454</v>
      </c>
      <c r="Q170" s="50" t="n">
        <f aca="false">SUM(L170:O170)</f>
        <v>651.956993000947</v>
      </c>
      <c r="R170" s="50" t="n">
        <f aca="false">F170*((1+$F$4)^(D170/360)-1)</f>
        <v>145.111756999054</v>
      </c>
      <c r="S170" s="51" t="n">
        <f aca="false">R170/G170</f>
        <v>0.172731528388351</v>
      </c>
      <c r="T170" s="50" t="n">
        <f aca="false">L170+M170+O170+R170+H170+I170</f>
        <v>840.1</v>
      </c>
      <c r="U170" s="50" t="n">
        <f aca="false">F170-O170-M170-L170</f>
        <v>21198.3315428219</v>
      </c>
      <c r="V170" s="2" t="str">
        <f aca="false">IF(M170&gt;0, ROUND(PMT($F$9,$F$10-E170-2,-U170)+$G$2*$F$12/12, 2), "")</f>
        <v/>
      </c>
      <c r="W170" s="2"/>
      <c r="X170" s="2" t="e">
        <f aca="false">IF(V170 &gt; 0, (G170-V170), 0)</f>
        <v>#VALUE!</v>
      </c>
      <c r="Y170" s="2" t="e">
        <f aca="false">X170*(180-E170)-M170</f>
        <v>#VALUE!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15.75" hidden="false" customHeight="true" outlineLevel="0" collapsed="false">
      <c r="A171" s="45" t="s">
        <v>66</v>
      </c>
      <c r="B171" s="46" t="b">
        <f aca="false">FALSE()</f>
        <v>0</v>
      </c>
      <c r="C171" s="47" t="n">
        <v>50541</v>
      </c>
      <c r="D171" s="48" t="n">
        <f aca="false">C171-C170</f>
        <v>30</v>
      </c>
      <c r="E171" s="49" t="n">
        <v>152</v>
      </c>
      <c r="F171" s="50" t="n">
        <f aca="false">IF(U170&gt;0, U170, 0)</f>
        <v>21198.3315428219</v>
      </c>
      <c r="G171" s="50" t="n">
        <f aca="false">IF(AND(V170&lt;&gt;"", V170&lt;$F$7), V170, G170)</f>
        <v>840.1</v>
      </c>
      <c r="H171" s="50" t="n">
        <f aca="false">IF(F171&gt;$F$7, ($G$2*($F$12/12)), 0)</f>
        <v>43.03125</v>
      </c>
      <c r="I171" s="50" t="n">
        <v>0</v>
      </c>
      <c r="J171" s="51" t="n">
        <f aca="false">IF(G171 = 0, 0, (H171+I171)/G171)</f>
        <v>0.0512215807641947</v>
      </c>
      <c r="K171" s="52" t="n">
        <f aca="false">G171</f>
        <v>840.1</v>
      </c>
      <c r="L171" s="50" t="n">
        <v>0</v>
      </c>
      <c r="M171" s="50" t="n">
        <f aca="false">IF(F171&gt;K171,K171-G171-N171+L171,0)</f>
        <v>0</v>
      </c>
      <c r="N171" s="50" t="n">
        <v>0</v>
      </c>
      <c r="O171" s="50" t="n">
        <f aca="false">(G171-R171-I171-H171)</f>
        <v>660.84267332866</v>
      </c>
      <c r="P171" s="51" t="n">
        <f aca="false">IF(G171 = 0, 0 , (O171/G171))</f>
        <v>0.786623822555244</v>
      </c>
      <c r="Q171" s="50" t="n">
        <f aca="false">SUM(L171:O171)</f>
        <v>660.84267332866</v>
      </c>
      <c r="R171" s="50" t="n">
        <f aca="false">F171*((1+$F$4)^(D171/360)-1)</f>
        <v>136.22607667134</v>
      </c>
      <c r="S171" s="51" t="n">
        <f aca="false">R171/G171</f>
        <v>0.162154596680562</v>
      </c>
      <c r="T171" s="50" t="n">
        <f aca="false">L171+M171+O171+R171+H171+I171</f>
        <v>840.1</v>
      </c>
      <c r="U171" s="50" t="n">
        <f aca="false">F171-O171-M171-L171</f>
        <v>20537.4888694933</v>
      </c>
      <c r="V171" s="2" t="str">
        <f aca="false">IF(M171&gt;0, ROUND(PMT($F$9,$F$10-E171-2,-U171)+$G$2*$F$12/12, 2), "")</f>
        <v/>
      </c>
      <c r="W171" s="2"/>
      <c r="X171" s="2" t="e">
        <f aca="false">IF(V171 &gt; 0, (G171-V171), 0)</f>
        <v>#VALUE!</v>
      </c>
      <c r="Y171" s="2" t="e">
        <f aca="false">X171*(180-E171)-M171</f>
        <v>#VALUE!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15.75" hidden="false" customHeight="true" outlineLevel="0" collapsed="false">
      <c r="A172" s="45" t="s">
        <v>66</v>
      </c>
      <c r="B172" s="46" t="b">
        <f aca="false">FALSE()</f>
        <v>0</v>
      </c>
      <c r="C172" s="47" t="n">
        <v>50572</v>
      </c>
      <c r="D172" s="48" t="n">
        <f aca="false">C172-C171</f>
        <v>31</v>
      </c>
      <c r="E172" s="49" t="n">
        <v>153</v>
      </c>
      <c r="F172" s="50" t="n">
        <f aca="false">IF(U171&gt;0, U171, 0)</f>
        <v>20537.4888694933</v>
      </c>
      <c r="G172" s="50" t="n">
        <f aca="false">IF(AND(V171&lt;&gt;"", V171&lt;$F$7), V171, G171)</f>
        <v>840.1</v>
      </c>
      <c r="H172" s="50" t="n">
        <f aca="false">IF(F172&gt;$F$7, ($G$2*($F$12/12)), 0)</f>
        <v>43.03125</v>
      </c>
      <c r="I172" s="50" t="n">
        <v>0</v>
      </c>
      <c r="J172" s="51" t="n">
        <f aca="false">IF(G172 = 0, 0, (H172+I172)/G172)</f>
        <v>0.0512215807641947</v>
      </c>
      <c r="K172" s="52" t="n">
        <f aca="false">G172</f>
        <v>840.1</v>
      </c>
      <c r="L172" s="50" t="n">
        <v>0</v>
      </c>
      <c r="M172" s="50" t="n">
        <f aca="false">IF(F172&gt;K172,K172-G172-N172+L172,0)</f>
        <v>0</v>
      </c>
      <c r="N172" s="50" t="n">
        <v>0</v>
      </c>
      <c r="O172" s="50" t="n">
        <f aca="false">(G172-R172-I172-H172)</f>
        <v>660.675535360538</v>
      </c>
      <c r="P172" s="51" t="n">
        <f aca="false">IF(G172 = 0, 0 , (O172/G172))</f>
        <v>0.786424872468203</v>
      </c>
      <c r="Q172" s="50" t="n">
        <f aca="false">SUM(L172:O172)</f>
        <v>660.675535360538</v>
      </c>
      <c r="R172" s="50" t="n">
        <f aca="false">F172*((1+$F$4)^(D172/360)-1)</f>
        <v>136.393214639462</v>
      </c>
      <c r="S172" s="51" t="n">
        <f aca="false">R172/G172</f>
        <v>0.162353546767602</v>
      </c>
      <c r="T172" s="50" t="n">
        <f aca="false">L172+M172+O172+R172+H172+I172</f>
        <v>840.1</v>
      </c>
      <c r="U172" s="50" t="n">
        <f aca="false">F172-O172-M172-L172</f>
        <v>19876.8133341327</v>
      </c>
      <c r="V172" s="2" t="str">
        <f aca="false">IF(M172&gt;0, ROUND(PMT($F$9,$F$10-E172-2,-U172)+$G$2*$F$12/12, 2), "")</f>
        <v/>
      </c>
      <c r="W172" s="2"/>
      <c r="X172" s="2" t="e">
        <f aca="false">IF(V172 &gt; 0, (G172-V172), 0)</f>
        <v>#VALUE!</v>
      </c>
      <c r="Y172" s="2" t="e">
        <f aca="false">X172*(180-E172)-M172</f>
        <v>#VALUE!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15.75" hidden="false" customHeight="true" outlineLevel="0" collapsed="false">
      <c r="A173" s="45" t="s">
        <v>66</v>
      </c>
      <c r="B173" s="46" t="b">
        <f aca="false">FALSE()</f>
        <v>0</v>
      </c>
      <c r="C173" s="47" t="n">
        <v>50602</v>
      </c>
      <c r="D173" s="48" t="n">
        <f aca="false">C173-C172</f>
        <v>30</v>
      </c>
      <c r="E173" s="49" t="n">
        <v>154</v>
      </c>
      <c r="F173" s="50" t="n">
        <f aca="false">IF(U172&gt;0, U172, 0)</f>
        <v>19876.8133341327</v>
      </c>
      <c r="G173" s="50" t="n">
        <f aca="false">IF(AND(V172&lt;&gt;"", V172&lt;$F$7), V172, G172)</f>
        <v>840.1</v>
      </c>
      <c r="H173" s="50" t="n">
        <f aca="false">IF(F173&gt;$F$7, ($G$2*($F$12/12)), 0)</f>
        <v>43.03125</v>
      </c>
      <c r="I173" s="50" t="n">
        <v>0</v>
      </c>
      <c r="J173" s="51" t="n">
        <f aca="false">IF(G173 = 0, 0, (H173+I173)/G173)</f>
        <v>0.0512215807641947</v>
      </c>
      <c r="K173" s="52" t="n">
        <f aca="false">G173</f>
        <v>840.1</v>
      </c>
      <c r="L173" s="50" t="n">
        <v>0</v>
      </c>
      <c r="M173" s="50" t="n">
        <f aca="false">IF(F173&gt;K173,K173-G173-N173+L173,0)</f>
        <v>0</v>
      </c>
      <c r="N173" s="50" t="n">
        <v>0</v>
      </c>
      <c r="O173" s="50" t="n">
        <f aca="false">(G173-R173-I173-H173)</f>
        <v>669.335098331817</v>
      </c>
      <c r="P173" s="51" t="n">
        <f aca="false">IF(G173 = 0, 0 , (O173/G173))</f>
        <v>0.7967326488892</v>
      </c>
      <c r="Q173" s="50" t="n">
        <f aca="false">SUM(L173:O173)</f>
        <v>669.335098331817</v>
      </c>
      <c r="R173" s="50" t="n">
        <f aca="false">F173*((1+$F$4)^(D173/360)-1)</f>
        <v>127.733651668183</v>
      </c>
      <c r="S173" s="51" t="n">
        <f aca="false">R173/G173</f>
        <v>0.152045770346605</v>
      </c>
      <c r="T173" s="50" t="n">
        <f aca="false">L173+M173+O173+R173+H173+I173</f>
        <v>840.1</v>
      </c>
      <c r="U173" s="50" t="n">
        <f aca="false">F173-O173-M173-L173</f>
        <v>19207.4782358009</v>
      </c>
      <c r="V173" s="2" t="str">
        <f aca="false">IF(M173&gt;0, ROUND(PMT($F$9,$F$10-E173-2,-U173)+$G$2*$F$12/12, 2), "")</f>
        <v/>
      </c>
      <c r="W173" s="2"/>
      <c r="X173" s="2" t="e">
        <f aca="false">IF(V173 &gt; 0, (G173-V173), 0)</f>
        <v>#VALUE!</v>
      </c>
      <c r="Y173" s="2" t="e">
        <f aca="false">X173*(180-E173)-M173</f>
        <v>#VALUE!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15.75" hidden="false" customHeight="true" outlineLevel="0" collapsed="false">
      <c r="A174" s="45" t="s">
        <v>66</v>
      </c>
      <c r="B174" s="46" t="b">
        <f aca="false">FALSE()</f>
        <v>0</v>
      </c>
      <c r="C174" s="47" t="n">
        <v>50633</v>
      </c>
      <c r="D174" s="48" t="n">
        <f aca="false">C174-C173</f>
        <v>31</v>
      </c>
      <c r="E174" s="49" t="n">
        <v>155</v>
      </c>
      <c r="F174" s="50" t="n">
        <f aca="false">IF(U173&gt;0, U173, 0)</f>
        <v>19207.4782358009</v>
      </c>
      <c r="G174" s="50" t="n">
        <f aca="false">IF(AND(V173&lt;&gt;"", V173&lt;$F$7), V173, G173)</f>
        <v>840.1</v>
      </c>
      <c r="H174" s="50" t="n">
        <f aca="false">IF(F174&gt;$F$7, ($G$2*($F$12/12)), 0)</f>
        <v>43.03125</v>
      </c>
      <c r="I174" s="50" t="n">
        <v>0</v>
      </c>
      <c r="J174" s="51" t="n">
        <f aca="false">IF(G174 = 0, 0, (H174+I174)/G174)</f>
        <v>0.0512215807641947</v>
      </c>
      <c r="K174" s="52" t="n">
        <f aca="false">G174</f>
        <v>840.1</v>
      </c>
      <c r="L174" s="50" t="n">
        <v>0</v>
      </c>
      <c r="M174" s="50" t="n">
        <f aca="false">IF(F174&gt;K174,K174-G174-N174+L174,0)</f>
        <v>0</v>
      </c>
      <c r="N174" s="50" t="n">
        <v>0</v>
      </c>
      <c r="O174" s="50" t="n">
        <f aca="false">(G174-R174-I174-H174)</f>
        <v>669.508378897871</v>
      </c>
      <c r="P174" s="51" t="n">
        <f aca="false">IF(G174 = 0, 0 , (O174/G174))</f>
        <v>0.79693891072238</v>
      </c>
      <c r="Q174" s="50" t="n">
        <f aca="false">SUM(L174:O174)</f>
        <v>669.508378897871</v>
      </c>
      <c r="R174" s="50" t="n">
        <f aca="false">F174*((1+$F$4)^(D174/360)-1)</f>
        <v>127.560371102129</v>
      </c>
      <c r="S174" s="51" t="n">
        <f aca="false">R174/G174</f>
        <v>0.151839508513425</v>
      </c>
      <c r="T174" s="50" t="n">
        <f aca="false">L174+M174+O174+R174+H174+I174</f>
        <v>840.1</v>
      </c>
      <c r="U174" s="50" t="n">
        <f aca="false">F174-O174-M174-L174</f>
        <v>18537.969856903</v>
      </c>
      <c r="V174" s="2" t="str">
        <f aca="false">IF(M174&gt;0, ROUND(PMT($F$9,$F$10-E174-2,-U174)+$G$2*$F$12/12, 2), "")</f>
        <v/>
      </c>
      <c r="W174" s="2"/>
      <c r="X174" s="2" t="e">
        <f aca="false">IF(V174 &gt; 0, (G174-V174), 0)</f>
        <v>#VALUE!</v>
      </c>
      <c r="Y174" s="2" t="e">
        <f aca="false">X174*(180-E174)-M174</f>
        <v>#VALUE!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15.75" hidden="false" customHeight="true" outlineLevel="0" collapsed="false">
      <c r="A175" s="45" t="s">
        <v>66</v>
      </c>
      <c r="B175" s="46" t="b">
        <f aca="false">FALSE()</f>
        <v>0</v>
      </c>
      <c r="C175" s="47" t="n">
        <v>50664</v>
      </c>
      <c r="D175" s="48" t="n">
        <f aca="false">C175-C174</f>
        <v>31</v>
      </c>
      <c r="E175" s="49" t="n">
        <v>156</v>
      </c>
      <c r="F175" s="50" t="n">
        <f aca="false">IF(U174&gt;0, U174, 0)</f>
        <v>18537.969856903</v>
      </c>
      <c r="G175" s="50" t="n">
        <f aca="false">IF(AND(V174&lt;&gt;"", V174&lt;$F$7), V174, G174)</f>
        <v>840.1</v>
      </c>
      <c r="H175" s="50" t="n">
        <f aca="false">IF(F175&gt;$F$7, ($G$2*($F$12/12)), 0)</f>
        <v>43.03125</v>
      </c>
      <c r="I175" s="50" t="n">
        <v>0</v>
      </c>
      <c r="J175" s="51" t="n">
        <f aca="false">IF(G175 = 0, 0, (H175+I175)/G175)</f>
        <v>0.0512215807641947</v>
      </c>
      <c r="K175" s="52" t="n">
        <f aca="false">G175</f>
        <v>840.1</v>
      </c>
      <c r="L175" s="50" t="n">
        <v>0</v>
      </c>
      <c r="M175" s="50" t="n">
        <f aca="false">IF(F175&gt;K175,K175-G175-N175+L175,0)</f>
        <v>0</v>
      </c>
      <c r="N175" s="50" t="n">
        <v>0</v>
      </c>
      <c r="O175" s="50" t="n">
        <f aca="false">(G175-R175-I175-H175)</f>
        <v>673.954706324083</v>
      </c>
      <c r="P175" s="51" t="n">
        <f aca="false">IF(G175 = 0, 0 , (O175/G175))</f>
        <v>0.80223152758491</v>
      </c>
      <c r="Q175" s="50" t="n">
        <f aca="false">SUM(L175:O175)</f>
        <v>673.954706324083</v>
      </c>
      <c r="R175" s="50" t="n">
        <f aca="false">F175*((1+$F$4)^(D175/360)-1)</f>
        <v>123.114043675917</v>
      </c>
      <c r="S175" s="51" t="n">
        <f aca="false">R175/G175</f>
        <v>0.146546891650896</v>
      </c>
      <c r="T175" s="50" t="n">
        <f aca="false">L175+M175+O175+R175+H175+I175</f>
        <v>840.1</v>
      </c>
      <c r="U175" s="50" t="n">
        <f aca="false">F175-O175-M175-L175</f>
        <v>17864.015150579</v>
      </c>
      <c r="V175" s="2" t="str">
        <f aca="false">IF(M175&gt;0, ROUND(PMT($F$9,$F$10-E175-2,-U175)+$G$2*$F$12/12, 2), "")</f>
        <v/>
      </c>
      <c r="W175" s="2"/>
      <c r="X175" s="2" t="e">
        <f aca="false">IF(V175 &gt; 0, (G175-V175), 0)</f>
        <v>#VALUE!</v>
      </c>
      <c r="Y175" s="2" t="e">
        <f aca="false">X175*(180-E175)-M175</f>
        <v>#VALUE!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15.75" hidden="false" customHeight="true" outlineLevel="0" collapsed="false">
      <c r="A176" s="45" t="s">
        <v>66</v>
      </c>
      <c r="B176" s="46" t="b">
        <f aca="false">FALSE()</f>
        <v>0</v>
      </c>
      <c r="C176" s="47" t="n">
        <v>50694</v>
      </c>
      <c r="D176" s="48" t="n">
        <f aca="false">C176-C175</f>
        <v>30</v>
      </c>
      <c r="E176" s="49" t="n">
        <v>157</v>
      </c>
      <c r="F176" s="50" t="n">
        <f aca="false">IF(U175&gt;0, U175, 0)</f>
        <v>17864.015150579</v>
      </c>
      <c r="G176" s="50" t="n">
        <f aca="false">IF(AND(V175&lt;&gt;"", V175&lt;$F$7), V175, G175)</f>
        <v>840.1</v>
      </c>
      <c r="H176" s="50" t="n">
        <f aca="false">IF(F176&gt;$F$7, ($G$2*($F$12/12)), 0)</f>
        <v>43.03125</v>
      </c>
      <c r="I176" s="50" t="n">
        <v>0</v>
      </c>
      <c r="J176" s="51" t="n">
        <f aca="false">IF(G176 = 0, 0, (H176+I176)/G176)</f>
        <v>0.0512215807641947</v>
      </c>
      <c r="K176" s="52" t="n">
        <f aca="false">G176</f>
        <v>840.1</v>
      </c>
      <c r="L176" s="50" t="n">
        <v>0</v>
      </c>
      <c r="M176" s="50" t="n">
        <f aca="false">IF(F176&gt;K176,K176-G176-N176+L176,0)</f>
        <v>0</v>
      </c>
      <c r="N176" s="50" t="n">
        <v>0</v>
      </c>
      <c r="O176" s="50" t="n">
        <f aca="false">(G176-R176-I176-H176)</f>
        <v>682.26987101064</v>
      </c>
      <c r="P176" s="51" t="n">
        <f aca="false">IF(G176 = 0, 0 , (O176/G176))</f>
        <v>0.812129354851375</v>
      </c>
      <c r="Q176" s="50" t="n">
        <f aca="false">SUM(L176:O176)</f>
        <v>682.26987101064</v>
      </c>
      <c r="R176" s="50" t="n">
        <f aca="false">F176*((1+$F$4)^(D176/360)-1)</f>
        <v>114.79887898936</v>
      </c>
      <c r="S176" s="51" t="n">
        <f aca="false">R176/G176</f>
        <v>0.13664906438443</v>
      </c>
      <c r="T176" s="50" t="n">
        <f aca="false">L176+M176+O176+R176+H176+I176</f>
        <v>840.1</v>
      </c>
      <c r="U176" s="50" t="n">
        <f aca="false">F176-O176-M176-L176</f>
        <v>17181.7452795683</v>
      </c>
      <c r="V176" s="2" t="str">
        <f aca="false">IF(M176&gt;0, ROUND(PMT($F$9,$F$10-E176-2,-U176)+$G$2*$F$12/12, 2), "")</f>
        <v/>
      </c>
      <c r="W176" s="2"/>
      <c r="X176" s="2" t="e">
        <f aca="false">IF(V176 &gt; 0, (G176-V176), 0)</f>
        <v>#VALUE!</v>
      </c>
      <c r="Y176" s="2" t="e">
        <f aca="false">X176*(180-E176)-M176</f>
        <v>#VALUE!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customFormat="false" ht="15.75" hidden="false" customHeight="true" outlineLevel="0" collapsed="false">
      <c r="A177" s="45" t="s">
        <v>66</v>
      </c>
      <c r="B177" s="46" t="b">
        <f aca="false">FALSE()</f>
        <v>0</v>
      </c>
      <c r="C177" s="47" t="n">
        <v>50725</v>
      </c>
      <c r="D177" s="48" t="n">
        <f aca="false">C177-C176</f>
        <v>31</v>
      </c>
      <c r="E177" s="49" t="n">
        <v>158</v>
      </c>
      <c r="F177" s="50" t="n">
        <f aca="false">IF(U176&gt;0, U176, 0)</f>
        <v>17181.7452795683</v>
      </c>
      <c r="G177" s="50" t="n">
        <f aca="false">IF(AND(V176&lt;&gt;"", V176&lt;$F$7), V176, G176)</f>
        <v>840.1</v>
      </c>
      <c r="H177" s="50" t="n">
        <f aca="false">IF(F177&gt;$F$7, ($G$2*($F$12/12)), 0)</f>
        <v>43.03125</v>
      </c>
      <c r="I177" s="50" t="n">
        <v>0</v>
      </c>
      <c r="J177" s="51" t="n">
        <f aca="false">IF(G177 = 0, 0, (H177+I177)/G177)</f>
        <v>0.0512215807641947</v>
      </c>
      <c r="K177" s="52" t="n">
        <f aca="false">G177</f>
        <v>840.1</v>
      </c>
      <c r="L177" s="50" t="n">
        <v>0</v>
      </c>
      <c r="M177" s="50" t="n">
        <f aca="false">IF(F177&gt;K177,K177-G177-N177+L177,0)</f>
        <v>0</v>
      </c>
      <c r="N177" s="50" t="n">
        <v>0</v>
      </c>
      <c r="O177" s="50" t="n">
        <f aca="false">(G177-R177-I177-H177)</f>
        <v>682.961641448975</v>
      </c>
      <c r="P177" s="51" t="n">
        <f aca="false">IF(G177 = 0, 0 , (O177/G177))</f>
        <v>0.81295279305913</v>
      </c>
      <c r="Q177" s="50" t="n">
        <f aca="false">SUM(L177:O177)</f>
        <v>682.961641448975</v>
      </c>
      <c r="R177" s="50" t="n">
        <f aca="false">F177*((1+$F$4)^(D177/360)-1)</f>
        <v>114.107108551025</v>
      </c>
      <c r="S177" s="51" t="n">
        <f aca="false">R177/G177</f>
        <v>0.135825626176675</v>
      </c>
      <c r="T177" s="50" t="n">
        <f aca="false">L177+M177+O177+R177+H177+I177</f>
        <v>840.1</v>
      </c>
      <c r="U177" s="50" t="n">
        <f aca="false">F177-O177-M177-L177</f>
        <v>16498.7836381193</v>
      </c>
      <c r="V177" s="2" t="str">
        <f aca="false">IF(M177&gt;0, ROUND(PMT($F$9,$F$10-E177-2,-U177)+$G$2*$F$12/12, 2), "")</f>
        <v/>
      </c>
      <c r="W177" s="2"/>
      <c r="X177" s="2" t="e">
        <f aca="false">IF(V177 &gt; 0, (G177-V177), 0)</f>
        <v>#VALUE!</v>
      </c>
      <c r="Y177" s="2" t="e">
        <f aca="false">X177*(180-E177)-M177</f>
        <v>#VALUE!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customFormat="false" ht="15.75" hidden="false" customHeight="true" outlineLevel="0" collapsed="false">
      <c r="A178" s="45" t="s">
        <v>66</v>
      </c>
      <c r="B178" s="46" t="b">
        <f aca="false">FALSE()</f>
        <v>0</v>
      </c>
      <c r="C178" s="47" t="n">
        <v>50755</v>
      </c>
      <c r="D178" s="48" t="n">
        <f aca="false">C178-C177</f>
        <v>30</v>
      </c>
      <c r="E178" s="49" t="n">
        <v>159</v>
      </c>
      <c r="F178" s="50" t="n">
        <f aca="false">IF(U177&gt;0, U177, 0)</f>
        <v>16498.7836381193</v>
      </c>
      <c r="G178" s="50" t="n">
        <f aca="false">IF(AND(V177&lt;&gt;"", V177&lt;$F$7), V177, G177)</f>
        <v>840.1</v>
      </c>
      <c r="H178" s="50" t="n">
        <f aca="false">IF(F178&gt;$F$7, ($G$2*($F$12/12)), 0)</f>
        <v>43.03125</v>
      </c>
      <c r="I178" s="50" t="n">
        <v>0</v>
      </c>
      <c r="J178" s="51" t="n">
        <f aca="false">IF(G178 = 0, 0, (H178+I178)/G178)</f>
        <v>0.0512215807641947</v>
      </c>
      <c r="K178" s="52" t="n">
        <f aca="false">G178</f>
        <v>840.1</v>
      </c>
      <c r="L178" s="50" t="n">
        <v>0</v>
      </c>
      <c r="M178" s="50" t="n">
        <f aca="false">IF(F178&gt;K178,K178-G178-N178+L178,0)</f>
        <v>0</v>
      </c>
      <c r="N178" s="50" t="n">
        <v>0</v>
      </c>
      <c r="O178" s="50" t="n">
        <f aca="false">(G178-R178-I178-H178)</f>
        <v>691.043209247886</v>
      </c>
      <c r="P178" s="51" t="n">
        <f aca="false">IF(G178 = 0, 0 , (O178/G178))</f>
        <v>0.822572561894877</v>
      </c>
      <c r="Q178" s="50" t="n">
        <f aca="false">SUM(L178:O178)</f>
        <v>691.043209247886</v>
      </c>
      <c r="R178" s="50" t="n">
        <f aca="false">F178*((1+$F$4)^(D178/360)-1)</f>
        <v>106.025540752114</v>
      </c>
      <c r="S178" s="51" t="n">
        <f aca="false">R178/G178</f>
        <v>0.126205857340929</v>
      </c>
      <c r="T178" s="50" t="n">
        <f aca="false">L178+M178+O178+R178+H178+I178</f>
        <v>840.1</v>
      </c>
      <c r="U178" s="50" t="n">
        <f aca="false">F178-O178-M178-L178</f>
        <v>15807.7404288715</v>
      </c>
      <c r="V178" s="2" t="str">
        <f aca="false">IF(M178&gt;0, ROUND(PMT($F$9,$F$10-E178-2,-U178)+$G$2*$F$12/12, 2), "")</f>
        <v/>
      </c>
      <c r="W178" s="2"/>
      <c r="X178" s="2" t="e">
        <f aca="false">IF(V178 &gt; 0, (G178-V178), 0)</f>
        <v>#VALUE!</v>
      </c>
      <c r="Y178" s="2" t="e">
        <f aca="false">X178*(180-E178)-M178</f>
        <v>#VALUE!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customFormat="false" ht="15.75" hidden="false" customHeight="true" outlineLevel="0" collapsed="false">
      <c r="A179" s="45" t="s">
        <v>66</v>
      </c>
      <c r="B179" s="46" t="b">
        <f aca="false">FALSE()</f>
        <v>0</v>
      </c>
      <c r="C179" s="47" t="n">
        <v>50786</v>
      </c>
      <c r="D179" s="48" t="n">
        <f aca="false">C179-C178</f>
        <v>31</v>
      </c>
      <c r="E179" s="49" t="n">
        <v>160</v>
      </c>
      <c r="F179" s="50" t="n">
        <f aca="false">IF(U178&gt;0, U178, 0)</f>
        <v>15807.7404288715</v>
      </c>
      <c r="G179" s="50" t="n">
        <f aca="false">IF(AND(V178&lt;&gt;"", V178&lt;$F$7), V178, G178)</f>
        <v>840.1</v>
      </c>
      <c r="H179" s="50" t="n">
        <f aca="false">IF(F179&gt;$F$7, ($G$2*($F$12/12)), 0)</f>
        <v>43.03125</v>
      </c>
      <c r="I179" s="50" t="n">
        <v>0</v>
      </c>
      <c r="J179" s="51" t="n">
        <f aca="false">IF(G179 = 0, 0, (H179+I179)/G179)</f>
        <v>0.0512215807641947</v>
      </c>
      <c r="K179" s="52" t="n">
        <f aca="false">G179</f>
        <v>840.1</v>
      </c>
      <c r="L179" s="50" t="n">
        <v>0</v>
      </c>
      <c r="M179" s="50" t="n">
        <f aca="false">IF(F179&gt;K179,K179-G179-N179+L179,0)</f>
        <v>0</v>
      </c>
      <c r="N179" s="50" t="n">
        <v>0</v>
      </c>
      <c r="O179" s="50" t="n">
        <f aca="false">(G179-R179-I179-H179)</f>
        <v>692.086658616733</v>
      </c>
      <c r="P179" s="51" t="n">
        <f aca="false">IF(G179 = 0, 0 , (O179/G179))</f>
        <v>0.823814615660913</v>
      </c>
      <c r="Q179" s="50" t="n">
        <f aca="false">SUM(L179:O179)</f>
        <v>692.086658616733</v>
      </c>
      <c r="R179" s="50" t="n">
        <f aca="false">F179*((1+$F$4)^(D179/360)-1)</f>
        <v>104.982091383267</v>
      </c>
      <c r="S179" s="51" t="n">
        <f aca="false">R179/G179</f>
        <v>0.124963803574892</v>
      </c>
      <c r="T179" s="50" t="n">
        <f aca="false">L179+M179+O179+R179+H179+I179</f>
        <v>840.1</v>
      </c>
      <c r="U179" s="50" t="n">
        <f aca="false">F179-O179-M179-L179</f>
        <v>15115.6537702547</v>
      </c>
      <c r="V179" s="2" t="str">
        <f aca="false">IF(M179&gt;0, ROUND(PMT($F$9,$F$10-E179-2,-U179)+$G$2*$F$12/12, 2), "")</f>
        <v/>
      </c>
      <c r="W179" s="2"/>
      <c r="X179" s="2" t="e">
        <f aca="false">IF(V179 &gt; 0, (G179-V179), 0)</f>
        <v>#VALUE!</v>
      </c>
      <c r="Y179" s="2" t="e">
        <f aca="false">X179*(180-E179)-M179</f>
        <v>#VALUE!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customFormat="false" ht="15.75" hidden="false" customHeight="true" outlineLevel="0" collapsed="false">
      <c r="A180" s="45" t="s">
        <v>66</v>
      </c>
      <c r="B180" s="46" t="b">
        <f aca="false">FALSE()</f>
        <v>0</v>
      </c>
      <c r="C180" s="47" t="n">
        <v>50817</v>
      </c>
      <c r="D180" s="48" t="n">
        <f aca="false">C180-C179</f>
        <v>31</v>
      </c>
      <c r="E180" s="49" t="n">
        <v>161</v>
      </c>
      <c r="F180" s="50" t="n">
        <f aca="false">IF(U179&gt;0, U179, 0)</f>
        <v>15115.6537702547</v>
      </c>
      <c r="G180" s="50" t="n">
        <f aca="false">IF(AND(V179&lt;&gt;"", V179&lt;$F$7), V179, G179)</f>
        <v>840.1</v>
      </c>
      <c r="H180" s="50" t="n">
        <f aca="false">IF(F180&gt;$F$7, ($G$2*($F$12/12)), 0)</f>
        <v>43.03125</v>
      </c>
      <c r="I180" s="50" t="n">
        <v>0</v>
      </c>
      <c r="J180" s="51" t="n">
        <f aca="false">IF(G180 = 0, 0, (H180+I180)/G180)</f>
        <v>0.0512215807641947</v>
      </c>
      <c r="K180" s="52" t="n">
        <f aca="false">G180</f>
        <v>840.1</v>
      </c>
      <c r="L180" s="50" t="n">
        <v>0</v>
      </c>
      <c r="M180" s="50" t="n">
        <f aca="false">IF(F180&gt;K180,K180-G180-N180+L180,0)</f>
        <v>0</v>
      </c>
      <c r="N180" s="50" t="n">
        <v>0</v>
      </c>
      <c r="O180" s="50" t="n">
        <f aca="false">(G180-R180-I180-H180)</f>
        <v>696.682932522353</v>
      </c>
      <c r="P180" s="51" t="n">
        <f aca="false">IF(G180 = 0, 0 , (O180/G180))</f>
        <v>0.829285718988636</v>
      </c>
      <c r="Q180" s="50" t="n">
        <f aca="false">SUM(L180:O180)</f>
        <v>696.682932522353</v>
      </c>
      <c r="R180" s="50" t="n">
        <f aca="false">F180*((1+$F$4)^(D180/360)-1)</f>
        <v>100.385817477647</v>
      </c>
      <c r="S180" s="51" t="n">
        <f aca="false">R180/G180</f>
        <v>0.119492700247169</v>
      </c>
      <c r="T180" s="50" t="n">
        <f aca="false">L180+M180+O180+R180+H180+I180</f>
        <v>840.1</v>
      </c>
      <c r="U180" s="50" t="n">
        <f aca="false">F180-O180-M180-L180</f>
        <v>14418.9708377324</v>
      </c>
      <c r="V180" s="2" t="str">
        <f aca="false">IF(M180&gt;0, ROUND(PMT($F$9,$F$10-E180-2,-U180)+$G$2*$F$12/12, 2), "")</f>
        <v/>
      </c>
      <c r="W180" s="2"/>
      <c r="X180" s="2" t="e">
        <f aca="false">IF(V180 &gt; 0, (G180-V180), 0)</f>
        <v>#VALUE!</v>
      </c>
      <c r="Y180" s="2" t="e">
        <f aca="false">X180*(180-E180)-M180</f>
        <v>#VALUE!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customFormat="false" ht="15.75" hidden="false" customHeight="true" outlineLevel="0" collapsed="false">
      <c r="A181" s="45" t="s">
        <v>66</v>
      </c>
      <c r="B181" s="46" t="b">
        <f aca="false">FALSE()</f>
        <v>0</v>
      </c>
      <c r="C181" s="47" t="n">
        <v>50845</v>
      </c>
      <c r="D181" s="48" t="n">
        <f aca="false">C181-C180</f>
        <v>28</v>
      </c>
      <c r="E181" s="49" t="n">
        <v>162</v>
      </c>
      <c r="F181" s="50" t="n">
        <f aca="false">IF(U180&gt;0, U180, 0)</f>
        <v>14418.9708377324</v>
      </c>
      <c r="G181" s="50" t="n">
        <f aca="false">IF(AND(V180&lt;&gt;"", V180&lt;$F$7), V180, G180)</f>
        <v>840.1</v>
      </c>
      <c r="H181" s="50" t="n">
        <f aca="false">IF(F181&gt;$F$7, ($G$2*($F$12/12)), 0)</f>
        <v>43.03125</v>
      </c>
      <c r="I181" s="50" t="n">
        <v>0</v>
      </c>
      <c r="J181" s="51" t="n">
        <f aca="false">IF(G181 = 0, 0, (H181+I181)/G181)</f>
        <v>0.0512215807641947</v>
      </c>
      <c r="K181" s="52" t="n">
        <f aca="false">G181</f>
        <v>840.1</v>
      </c>
      <c r="L181" s="50" t="n">
        <v>0</v>
      </c>
      <c r="M181" s="50" t="n">
        <f aca="false">IF(F181&gt;K181,K181-G181-N181+L181,0)</f>
        <v>0</v>
      </c>
      <c r="N181" s="50" t="n">
        <v>0</v>
      </c>
      <c r="O181" s="50" t="n">
        <f aca="false">(G181-R181-I181-H181)</f>
        <v>710.604459698135</v>
      </c>
      <c r="P181" s="51" t="n">
        <f aca="false">IF(G181 = 0, 0 , (O181/G181))</f>
        <v>0.845856992855774</v>
      </c>
      <c r="Q181" s="50" t="n">
        <f aca="false">SUM(L181:O181)</f>
        <v>710.604459698135</v>
      </c>
      <c r="R181" s="50" t="n">
        <f aca="false">F181*((1+$F$4)^(D181/360)-1)</f>
        <v>86.4642903018646</v>
      </c>
      <c r="S181" s="51" t="n">
        <f aca="false">R181/G181</f>
        <v>0.102921426380032</v>
      </c>
      <c r="T181" s="50" t="n">
        <f aca="false">L181+M181+O181+R181+H181+I181</f>
        <v>840.1</v>
      </c>
      <c r="U181" s="50" t="n">
        <f aca="false">F181-O181-M181-L181</f>
        <v>13708.3663780342</v>
      </c>
      <c r="V181" s="2" t="str">
        <f aca="false">IF(M181&gt;0, ROUND(PMT($F$9,$F$10-E181-2,-U181)+$G$2*$F$12/12, 2), "")</f>
        <v/>
      </c>
      <c r="W181" s="2"/>
      <c r="X181" s="2" t="e">
        <f aca="false">IF(V181 &gt; 0, (G181-V181), 0)</f>
        <v>#VALUE!</v>
      </c>
      <c r="Y181" s="2" t="e">
        <f aca="false">X181*(180-E181)-M181</f>
        <v>#VALUE!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customFormat="false" ht="15.75" hidden="false" customHeight="true" outlineLevel="0" collapsed="false">
      <c r="A182" s="45" t="s">
        <v>66</v>
      </c>
      <c r="B182" s="46" t="b">
        <f aca="false">FALSE()</f>
        <v>0</v>
      </c>
      <c r="C182" s="47" t="n">
        <v>50876</v>
      </c>
      <c r="D182" s="48" t="n">
        <f aca="false">C182-C181</f>
        <v>31</v>
      </c>
      <c r="E182" s="49" t="n">
        <v>163</v>
      </c>
      <c r="F182" s="50" t="n">
        <f aca="false">IF(U181&gt;0, U181, 0)</f>
        <v>13708.3663780342</v>
      </c>
      <c r="G182" s="50" t="n">
        <f aca="false">IF(AND(V181&lt;&gt;"", V181&lt;$F$7), V181, G181)</f>
        <v>840.1</v>
      </c>
      <c r="H182" s="50" t="n">
        <f aca="false">IF(F182&gt;$F$7, ($G$2*($F$12/12)), 0)</f>
        <v>43.03125</v>
      </c>
      <c r="I182" s="50" t="n">
        <v>0</v>
      </c>
      <c r="J182" s="51" t="n">
        <f aca="false">IF(G182 = 0, 0, (H182+I182)/G182)</f>
        <v>0.0512215807641947</v>
      </c>
      <c r="K182" s="52" t="n">
        <f aca="false">G182</f>
        <v>840.1</v>
      </c>
      <c r="L182" s="50" t="n">
        <v>0</v>
      </c>
      <c r="M182" s="50" t="n">
        <f aca="false">IF(F182&gt;K182,K182-G182-N182+L182,0)</f>
        <v>0</v>
      </c>
      <c r="N182" s="50" t="n">
        <v>0</v>
      </c>
      <c r="O182" s="50" t="n">
        <f aca="false">(G182-R182-I182-H182)</f>
        <v>706.028985127239</v>
      </c>
      <c r="P182" s="51" t="n">
        <f aca="false">IF(G182 = 0, 0 , (O182/G182))</f>
        <v>0.840410647693416</v>
      </c>
      <c r="Q182" s="50" t="n">
        <f aca="false">SUM(L182:O182)</f>
        <v>706.028985127239</v>
      </c>
      <c r="R182" s="50" t="n">
        <f aca="false">F182*((1+$F$4)^(D182/360)-1)</f>
        <v>91.039764872761</v>
      </c>
      <c r="S182" s="51" t="n">
        <f aca="false">R182/G182</f>
        <v>0.108367771542389</v>
      </c>
      <c r="T182" s="50" t="n">
        <f aca="false">L182+M182+O182+R182+H182+I182</f>
        <v>840.1</v>
      </c>
      <c r="U182" s="50" t="n">
        <f aca="false">F182-O182-M182-L182</f>
        <v>13002.337392907</v>
      </c>
      <c r="V182" s="2" t="str">
        <f aca="false">IF(M182&gt;0, ROUND(PMT($F$9,$F$10-E182-2,-U182)+$G$2*$F$12/12, 2), "")</f>
        <v/>
      </c>
      <c r="W182" s="2"/>
      <c r="X182" s="2" t="e">
        <f aca="false">IF(V182 &gt; 0, (G182-V182), 0)</f>
        <v>#VALUE!</v>
      </c>
      <c r="Y182" s="2" t="e">
        <f aca="false">X182*(180-E182)-M182</f>
        <v>#VALUE!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customFormat="false" ht="15.75" hidden="false" customHeight="true" outlineLevel="0" collapsed="false">
      <c r="A183" s="45" t="s">
        <v>66</v>
      </c>
      <c r="B183" s="46" t="b">
        <f aca="false">FALSE()</f>
        <v>0</v>
      </c>
      <c r="C183" s="47" t="n">
        <v>50906</v>
      </c>
      <c r="D183" s="48" t="n">
        <f aca="false">C183-C182</f>
        <v>30</v>
      </c>
      <c r="E183" s="49" t="n">
        <v>164</v>
      </c>
      <c r="F183" s="50" t="n">
        <f aca="false">IF(U182&gt;0, U182, 0)</f>
        <v>13002.337392907</v>
      </c>
      <c r="G183" s="50" t="n">
        <f aca="false">IF(AND(V182&lt;&gt;"", V182&lt;$F$7), V182, G182)</f>
        <v>840.1</v>
      </c>
      <c r="H183" s="50" t="n">
        <f aca="false">IF(F183&gt;$F$7, ($G$2*($F$12/12)), 0)</f>
        <v>43.03125</v>
      </c>
      <c r="I183" s="50" t="n">
        <v>0</v>
      </c>
      <c r="J183" s="51" t="n">
        <f aca="false">IF(G183 = 0, 0, (H183+I183)/G183)</f>
        <v>0.0512215807641947</v>
      </c>
      <c r="K183" s="52" t="n">
        <f aca="false">G183</f>
        <v>840.1</v>
      </c>
      <c r="L183" s="50" t="n">
        <v>0</v>
      </c>
      <c r="M183" s="50" t="n">
        <f aca="false">IF(F183&gt;K183,K183-G183-N183+L183,0)</f>
        <v>0</v>
      </c>
      <c r="N183" s="50" t="n">
        <v>0</v>
      </c>
      <c r="O183" s="50" t="n">
        <f aca="false">(G183-R183-I183-H183)</f>
        <v>713.51229618123</v>
      </c>
      <c r="P183" s="51" t="n">
        <f aca="false">IF(G183 = 0, 0 , (O183/G183))</f>
        <v>0.849318290895405</v>
      </c>
      <c r="Q183" s="50" t="n">
        <f aca="false">SUM(L183:O183)</f>
        <v>713.51229618123</v>
      </c>
      <c r="R183" s="50" t="n">
        <f aca="false">F183*((1+$F$4)^(D183/360)-1)</f>
        <v>83.55645381877</v>
      </c>
      <c r="S183" s="51" t="n">
        <f aca="false">R183/G183</f>
        <v>0.0994601283404</v>
      </c>
      <c r="T183" s="50" t="n">
        <f aca="false">L183+M183+O183+R183+H183+I183</f>
        <v>840.1</v>
      </c>
      <c r="U183" s="50" t="n">
        <f aca="false">F183-O183-M183-L183</f>
        <v>12288.8250967258</v>
      </c>
      <c r="V183" s="2" t="str">
        <f aca="false">IF(M183&gt;0, ROUND(PMT($F$9,$F$10-E183-2,-U183)+$G$2*$F$12/12, 2), "")</f>
        <v/>
      </c>
      <c r="W183" s="2"/>
      <c r="X183" s="2" t="e">
        <f aca="false">IF(V183 &gt; 0, (G183-V183), 0)</f>
        <v>#VALUE!</v>
      </c>
      <c r="Y183" s="2" t="e">
        <f aca="false">X183*(180-E183)-M183</f>
        <v>#VALUE!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customFormat="false" ht="15.75" hidden="false" customHeight="true" outlineLevel="0" collapsed="false">
      <c r="A184" s="45" t="s">
        <v>66</v>
      </c>
      <c r="B184" s="46" t="b">
        <f aca="false">FALSE()</f>
        <v>0</v>
      </c>
      <c r="C184" s="47" t="n">
        <v>50937</v>
      </c>
      <c r="D184" s="48" t="n">
        <f aca="false">C184-C183</f>
        <v>31</v>
      </c>
      <c r="E184" s="49" t="n">
        <v>165</v>
      </c>
      <c r="F184" s="50" t="n">
        <f aca="false">IF(U183&gt;0, U183, 0)</f>
        <v>12288.8250967258</v>
      </c>
      <c r="G184" s="50" t="n">
        <f aca="false">IF(AND(V183&lt;&gt;"", V183&lt;$F$7), V183, G183)</f>
        <v>840.1</v>
      </c>
      <c r="H184" s="50" t="n">
        <f aca="false">IF(F184&gt;$F$7, ($G$2*($F$12/12)), 0)</f>
        <v>43.03125</v>
      </c>
      <c r="I184" s="50" t="n">
        <v>0</v>
      </c>
      <c r="J184" s="51" t="n">
        <f aca="false">IF(G184 = 0, 0, (H184+I184)/G184)</f>
        <v>0.0512215807641947</v>
      </c>
      <c r="K184" s="52" t="n">
        <f aca="false">G184</f>
        <v>840.1</v>
      </c>
      <c r="L184" s="50" t="n">
        <v>0</v>
      </c>
      <c r="M184" s="50" t="n">
        <f aca="false">IF(F184&gt;K184,K184-G184-N184+L184,0)</f>
        <v>0</v>
      </c>
      <c r="N184" s="50" t="n">
        <v>0</v>
      </c>
      <c r="O184" s="50" t="n">
        <f aca="false">(G184-R184-I184-H184)</f>
        <v>715.456418047662</v>
      </c>
      <c r="P184" s="51" t="n">
        <f aca="false">IF(G184 = 0, 0 , (O184/G184))</f>
        <v>0.851632446194098</v>
      </c>
      <c r="Q184" s="50" t="n">
        <f aca="false">SUM(L184:O184)</f>
        <v>715.456418047662</v>
      </c>
      <c r="R184" s="50" t="n">
        <f aca="false">F184*((1+$F$4)^(D184/360)-1)</f>
        <v>81.6123319523379</v>
      </c>
      <c r="S184" s="51" t="n">
        <f aca="false">R184/G184</f>
        <v>0.0971459730417069</v>
      </c>
      <c r="T184" s="50" t="n">
        <f aca="false">L184+M184+O184+R184+H184+I184</f>
        <v>840.1</v>
      </c>
      <c r="U184" s="50" t="n">
        <f aca="false">F184-O184-M184-L184</f>
        <v>11573.3686786781</v>
      </c>
      <c r="V184" s="2" t="str">
        <f aca="false">IF(M184&gt;0, ROUND(PMT($F$9,$F$10-E184-2,-U184)+$G$2*$F$12/12, 2), "")</f>
        <v/>
      </c>
      <c r="W184" s="2"/>
      <c r="X184" s="2" t="e">
        <f aca="false">IF(V184 &gt; 0, (G184-V184), 0)</f>
        <v>#VALUE!</v>
      </c>
      <c r="Y184" s="2" t="e">
        <f aca="false">X184*(180-E184)-M184</f>
        <v>#VALUE!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customFormat="false" ht="15.75" hidden="false" customHeight="true" outlineLevel="0" collapsed="false">
      <c r="A185" s="45" t="s">
        <v>66</v>
      </c>
      <c r="B185" s="46" t="b">
        <f aca="false">FALSE()</f>
        <v>0</v>
      </c>
      <c r="C185" s="47" t="n">
        <v>50967</v>
      </c>
      <c r="D185" s="48" t="n">
        <f aca="false">C185-C184</f>
        <v>30</v>
      </c>
      <c r="E185" s="49" t="n">
        <v>166</v>
      </c>
      <c r="F185" s="50" t="n">
        <f aca="false">IF(U184&gt;0, U184, 0)</f>
        <v>11573.3686786781</v>
      </c>
      <c r="G185" s="50" t="n">
        <f aca="false">IF(AND(V184&lt;&gt;"", V184&lt;$F$7), V184, G184)</f>
        <v>840.1</v>
      </c>
      <c r="H185" s="50" t="n">
        <f aca="false">IF(F185&gt;$F$7, ($G$2*($F$12/12)), 0)</f>
        <v>43.03125</v>
      </c>
      <c r="I185" s="50" t="n">
        <v>0</v>
      </c>
      <c r="J185" s="51" t="n">
        <f aca="false">IF(G185 = 0, 0, (H185+I185)/G185)</f>
        <v>0.0512215807641947</v>
      </c>
      <c r="K185" s="52" t="n">
        <f aca="false">G185</f>
        <v>840.1</v>
      </c>
      <c r="L185" s="50" t="n">
        <v>0</v>
      </c>
      <c r="M185" s="50" t="n">
        <f aca="false">IF(F185&gt;K185,K185-G185-N185+L185,0)</f>
        <v>0</v>
      </c>
      <c r="N185" s="50" t="n">
        <v>0</v>
      </c>
      <c r="O185" s="50" t="n">
        <f aca="false">(G185-R185-I185-H185)</f>
        <v>722.695226509132</v>
      </c>
      <c r="P185" s="51" t="n">
        <f aca="false">IF(G185 = 0, 0 , (O185/G185))</f>
        <v>0.860249049528784</v>
      </c>
      <c r="Q185" s="50" t="n">
        <f aca="false">SUM(L185:O185)</f>
        <v>722.695226509132</v>
      </c>
      <c r="R185" s="50" t="n">
        <f aca="false">F185*((1+$F$4)^(D185/360)-1)</f>
        <v>74.3735234908685</v>
      </c>
      <c r="S185" s="51" t="n">
        <f aca="false">R185/G185</f>
        <v>0.0885293697070212</v>
      </c>
      <c r="T185" s="50" t="n">
        <f aca="false">L185+M185+O185+R185+H185+I185</f>
        <v>840.1</v>
      </c>
      <c r="U185" s="50" t="n">
        <f aca="false">F185-O185-M185-L185</f>
        <v>10850.673452169</v>
      </c>
      <c r="V185" s="2" t="str">
        <f aca="false">IF(M185&gt;0, ROUND(PMT($F$9,$F$10-E185-2,-U185)+$G$2*$F$12/12, 2), "")</f>
        <v/>
      </c>
      <c r="W185" s="2"/>
      <c r="X185" s="2" t="e">
        <f aca="false">IF(V185 &gt; 0, (G185-V185), 0)</f>
        <v>#VALUE!</v>
      </c>
      <c r="Y185" s="2" t="e">
        <f aca="false">X185*(180-E185)-M185</f>
        <v>#VALUE!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customFormat="false" ht="15.75" hidden="false" customHeight="true" outlineLevel="0" collapsed="false">
      <c r="A186" s="45" t="s">
        <v>66</v>
      </c>
      <c r="B186" s="46" t="b">
        <f aca="false">FALSE()</f>
        <v>0</v>
      </c>
      <c r="C186" s="47" t="n">
        <v>50998</v>
      </c>
      <c r="D186" s="48" t="n">
        <f aca="false">C186-C185</f>
        <v>31</v>
      </c>
      <c r="E186" s="49" t="n">
        <v>167</v>
      </c>
      <c r="F186" s="50" t="n">
        <f aca="false">IF(U185&gt;0, U185, 0)</f>
        <v>10850.673452169</v>
      </c>
      <c r="G186" s="50" t="n">
        <f aca="false">IF(AND(V185&lt;&gt;"", V185&lt;$F$7), V185, G185)</f>
        <v>840.1</v>
      </c>
      <c r="H186" s="50" t="n">
        <f aca="false">IF(F186&gt;$F$7, ($G$2*($F$12/12)), 0)</f>
        <v>43.03125</v>
      </c>
      <c r="I186" s="50" t="n">
        <v>0</v>
      </c>
      <c r="J186" s="51" t="n">
        <f aca="false">IF(G186 = 0, 0, (H186+I186)/G186)</f>
        <v>0.0512215807641947</v>
      </c>
      <c r="K186" s="52" t="n">
        <f aca="false">G186</f>
        <v>840.1</v>
      </c>
      <c r="L186" s="50" t="n">
        <v>0</v>
      </c>
      <c r="M186" s="50" t="n">
        <f aca="false">IF(F186&gt;K186,K186-G186-N186+L186,0)</f>
        <v>0</v>
      </c>
      <c r="N186" s="50" t="n">
        <v>0</v>
      </c>
      <c r="O186" s="50" t="n">
        <f aca="false">(G186-R186-I186-H186)</f>
        <v>725.007445789496</v>
      </c>
      <c r="P186" s="51" t="n">
        <f aca="false">IF(G186 = 0, 0 , (O186/G186))</f>
        <v>0.863001363872748</v>
      </c>
      <c r="Q186" s="50" t="n">
        <f aca="false">SUM(L186:O186)</f>
        <v>725.007445789496</v>
      </c>
      <c r="R186" s="50" t="n">
        <f aca="false">F186*((1+$F$4)^(D186/360)-1)</f>
        <v>72.0613042105043</v>
      </c>
      <c r="S186" s="51" t="n">
        <f aca="false">R186/G186</f>
        <v>0.0857770553630571</v>
      </c>
      <c r="T186" s="50" t="n">
        <f aca="false">L186+M186+O186+R186+H186+I186</f>
        <v>840.1</v>
      </c>
      <c r="U186" s="50" t="n">
        <f aca="false">F186-O186-M186-L186</f>
        <v>10125.6660063795</v>
      </c>
      <c r="V186" s="2" t="str">
        <f aca="false">IF(M186&gt;0, ROUND(PMT($F$9,$F$10-E186-2,-U186)+$G$2*$F$12/12, 2), "")</f>
        <v/>
      </c>
      <c r="W186" s="2"/>
      <c r="X186" s="2" t="e">
        <f aca="false">IF(V186 &gt; 0, (G186-V186), 0)</f>
        <v>#VALUE!</v>
      </c>
      <c r="Y186" s="2" t="e">
        <f aca="false">X186*(180-E186)-M186</f>
        <v>#VALUE!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customFormat="false" ht="15.75" hidden="false" customHeight="true" outlineLevel="0" collapsed="false">
      <c r="A187" s="45" t="s">
        <v>66</v>
      </c>
      <c r="B187" s="46" t="b">
        <f aca="false">FALSE()</f>
        <v>0</v>
      </c>
      <c r="C187" s="47" t="n">
        <v>51029</v>
      </c>
      <c r="D187" s="48" t="n">
        <f aca="false">C187-C186</f>
        <v>31</v>
      </c>
      <c r="E187" s="49" t="n">
        <v>168</v>
      </c>
      <c r="F187" s="50" t="n">
        <f aca="false">IF(U186&gt;0, U186, 0)</f>
        <v>10125.6660063795</v>
      </c>
      <c r="G187" s="50" t="n">
        <f aca="false">IF(AND(V186&lt;&gt;"", V186&lt;$F$7), V186, G186)</f>
        <v>840.1</v>
      </c>
      <c r="H187" s="50" t="n">
        <f aca="false">IF(F187&gt;$F$7, ($G$2*($F$12/12)), 0)</f>
        <v>43.03125</v>
      </c>
      <c r="I187" s="50" t="n">
        <v>0</v>
      </c>
      <c r="J187" s="51" t="n">
        <f aca="false">IF(G187 = 0, 0, (H187+I187)/G187)</f>
        <v>0.0512215807641947</v>
      </c>
      <c r="K187" s="52" t="n">
        <f aca="false">G187</f>
        <v>840.1</v>
      </c>
      <c r="L187" s="50" t="n">
        <v>0</v>
      </c>
      <c r="M187" s="50" t="n">
        <f aca="false">IF(F187&gt;K187,K187-G187-N187+L187,0)</f>
        <v>0</v>
      </c>
      <c r="N187" s="50" t="n">
        <v>0</v>
      </c>
      <c r="O187" s="50" t="n">
        <f aca="false">(G187-R187-I187-H187)</f>
        <v>729.822352655528</v>
      </c>
      <c r="P187" s="51" t="n">
        <f aca="false">IF(G187 = 0, 0 , (O187/G187))</f>
        <v>0.868732713552586</v>
      </c>
      <c r="Q187" s="50" t="n">
        <f aca="false">SUM(L187:O187)</f>
        <v>729.822352655528</v>
      </c>
      <c r="R187" s="50" t="n">
        <f aca="false">F187*((1+$F$4)^(D187/360)-1)</f>
        <v>67.2463973444724</v>
      </c>
      <c r="S187" s="51" t="n">
        <f aca="false">R187/G187</f>
        <v>0.0800457056832192</v>
      </c>
      <c r="T187" s="50" t="n">
        <f aca="false">L187+M187+O187+R187+H187+I187</f>
        <v>840.1</v>
      </c>
      <c r="U187" s="50" t="n">
        <f aca="false">F187-O187-M187-L187</f>
        <v>9395.84365372395</v>
      </c>
      <c r="V187" s="2" t="str">
        <f aca="false">IF(M187&gt;0, ROUND(PMT($F$9,$F$10-E187-2,-U187)+$G$2*$F$12/12, 2), "")</f>
        <v/>
      </c>
      <c r="W187" s="2"/>
      <c r="X187" s="2" t="e">
        <f aca="false">IF(V187 &gt; 0, (G187-V187), 0)</f>
        <v>#VALUE!</v>
      </c>
      <c r="Y187" s="2" t="e">
        <f aca="false">X187*(180-E187)-M187</f>
        <v>#VALUE!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customFormat="false" ht="15.75" hidden="false" customHeight="true" outlineLevel="0" collapsed="false">
      <c r="A188" s="45" t="s">
        <v>66</v>
      </c>
      <c r="B188" s="46" t="b">
        <f aca="false">FALSE()</f>
        <v>0</v>
      </c>
      <c r="C188" s="47" t="n">
        <v>51059</v>
      </c>
      <c r="D188" s="48" t="n">
        <f aca="false">C188-C187</f>
        <v>30</v>
      </c>
      <c r="E188" s="49" t="n">
        <v>169</v>
      </c>
      <c r="F188" s="50" t="n">
        <f aca="false">IF(U187&gt;0, U187, 0)</f>
        <v>9395.84365372395</v>
      </c>
      <c r="G188" s="50" t="n">
        <f aca="false">IF(AND(V187&lt;&gt;"", V187&lt;$F$7), V187, G187)</f>
        <v>840.1</v>
      </c>
      <c r="H188" s="50" t="n">
        <f aca="false">IF(F188&gt;$F$7, ($G$2*($F$12/12)), 0)</f>
        <v>43.03125</v>
      </c>
      <c r="I188" s="50" t="n">
        <v>0</v>
      </c>
      <c r="J188" s="51" t="n">
        <f aca="false">IF(G188 = 0, 0, (H188+I188)/G188)</f>
        <v>0.0512215807641947</v>
      </c>
      <c r="K188" s="52" t="n">
        <f aca="false">G188</f>
        <v>840.1</v>
      </c>
      <c r="L188" s="50" t="n">
        <v>0</v>
      </c>
      <c r="M188" s="50" t="n">
        <f aca="false">IF(F188&gt;K188,K188-G188-N188+L188,0)</f>
        <v>0</v>
      </c>
      <c r="N188" s="50" t="n">
        <v>0</v>
      </c>
      <c r="O188" s="50" t="n">
        <f aca="false">(G188-R188-I188-H188)</f>
        <v>736.688577372804</v>
      </c>
      <c r="P188" s="51" t="n">
        <f aca="false">IF(G188 = 0, 0 , (O188/G188))</f>
        <v>0.876905817608385</v>
      </c>
      <c r="Q188" s="50" t="n">
        <f aca="false">SUM(L188:O188)</f>
        <v>736.688577372804</v>
      </c>
      <c r="R188" s="50" t="n">
        <f aca="false">F188*((1+$F$4)^(D188/360)-1)</f>
        <v>60.3801726271959</v>
      </c>
      <c r="S188" s="51" t="n">
        <f aca="false">R188/G188</f>
        <v>0.0718726016274204</v>
      </c>
      <c r="T188" s="50" t="n">
        <f aca="false">L188+M188+O188+R188+H188+I188</f>
        <v>840.1</v>
      </c>
      <c r="U188" s="50" t="n">
        <f aca="false">F188-O188-M188-L188</f>
        <v>8659.15507635114</v>
      </c>
      <c r="V188" s="2" t="str">
        <f aca="false">IF(M188&gt;0, ROUND(PMT($F$9,$F$10-E188-2,-U188)+$G$2*$F$12/12, 2), "")</f>
        <v/>
      </c>
      <c r="W188" s="2"/>
      <c r="X188" s="2" t="e">
        <f aca="false">IF(V188 &gt; 0, (G188-V188), 0)</f>
        <v>#VALUE!</v>
      </c>
      <c r="Y188" s="2" t="e">
        <f aca="false">X188*(180-E188)-M188</f>
        <v>#VALUE!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customFormat="false" ht="15.75" hidden="false" customHeight="true" outlineLevel="0" collapsed="false">
      <c r="A189" s="45" t="s">
        <v>66</v>
      </c>
      <c r="B189" s="46" t="b">
        <f aca="false">FALSE()</f>
        <v>0</v>
      </c>
      <c r="C189" s="47" t="n">
        <v>51090</v>
      </c>
      <c r="D189" s="48" t="n">
        <f aca="false">C189-C188</f>
        <v>31</v>
      </c>
      <c r="E189" s="49" t="n">
        <v>170</v>
      </c>
      <c r="F189" s="50" t="n">
        <f aca="false">IF(U188&gt;0, U188, 0)</f>
        <v>8659.15507635114</v>
      </c>
      <c r="G189" s="50" t="n">
        <f aca="false">IF(AND(V188&lt;&gt;"", V188&lt;$F$7), V188, G188)</f>
        <v>840.1</v>
      </c>
      <c r="H189" s="50" t="n">
        <f aca="false">IF(F189&gt;$F$7, ($G$2*($F$12/12)), 0)</f>
        <v>43.03125</v>
      </c>
      <c r="I189" s="50" t="n">
        <v>0</v>
      </c>
      <c r="J189" s="51" t="n">
        <f aca="false">IF(G189 = 0, 0, (H189+I189)/G189)</f>
        <v>0.0512215807641947</v>
      </c>
      <c r="K189" s="52" t="n">
        <f aca="false">G189</f>
        <v>840.1</v>
      </c>
      <c r="L189" s="50" t="n">
        <v>0</v>
      </c>
      <c r="M189" s="50" t="n">
        <f aca="false">IF(F189&gt;K189,K189-G189-N189+L189,0)</f>
        <v>0</v>
      </c>
      <c r="N189" s="50" t="n">
        <v>0</v>
      </c>
      <c r="O189" s="50" t="n">
        <f aca="false">(G189-R189-I189-H189)</f>
        <v>739.561719591842</v>
      </c>
      <c r="P189" s="51" t="n">
        <f aca="false">IF(G189 = 0, 0 , (O189/G189))</f>
        <v>0.880325817869114</v>
      </c>
      <c r="Q189" s="50" t="n">
        <f aca="false">SUM(L189:O189)</f>
        <v>739.561719591842</v>
      </c>
      <c r="R189" s="50" t="n">
        <f aca="false">F189*((1+$F$4)^(D189/360)-1)</f>
        <v>57.5070304081578</v>
      </c>
      <c r="S189" s="51" t="n">
        <f aca="false">R189/G189</f>
        <v>0.0684526013666919</v>
      </c>
      <c r="T189" s="50" t="n">
        <f aca="false">L189+M189+O189+R189+H189+I189</f>
        <v>840.1</v>
      </c>
      <c r="U189" s="50" t="n">
        <f aca="false">F189-O189-M189-L189</f>
        <v>7919.5933567593</v>
      </c>
      <c r="V189" s="2" t="str">
        <f aca="false">IF(M189&gt;0, ROUND(PMT($F$9,$F$10-E189-2,-U189)+$G$2*$F$12/12, 2), "")</f>
        <v/>
      </c>
      <c r="W189" s="2"/>
      <c r="X189" s="2" t="e">
        <f aca="false">IF(V189 &gt; 0, (G189-V189), 0)</f>
        <v>#VALUE!</v>
      </c>
      <c r="Y189" s="2" t="e">
        <f aca="false">X189*(180-E189)-M189</f>
        <v>#VALUE!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customFormat="false" ht="15.75" hidden="false" customHeight="true" outlineLevel="0" collapsed="false">
      <c r="A190" s="45" t="s">
        <v>66</v>
      </c>
      <c r="B190" s="46" t="b">
        <f aca="false">FALSE()</f>
        <v>0</v>
      </c>
      <c r="C190" s="47" t="n">
        <v>51120</v>
      </c>
      <c r="D190" s="48" t="n">
        <f aca="false">C190-C189</f>
        <v>30</v>
      </c>
      <c r="E190" s="49" t="n">
        <v>171</v>
      </c>
      <c r="F190" s="50" t="n">
        <f aca="false">IF(U189&gt;0, U189, 0)</f>
        <v>7919.5933567593</v>
      </c>
      <c r="G190" s="50" t="n">
        <f aca="false">IF(AND(V189&lt;&gt;"", V189&lt;$F$7), V189, G189)</f>
        <v>840.1</v>
      </c>
      <c r="H190" s="50" t="n">
        <f aca="false">IF(F190&gt;$F$7, ($G$2*($F$12/12)), 0)</f>
        <v>43.03125</v>
      </c>
      <c r="I190" s="50" t="n">
        <v>0</v>
      </c>
      <c r="J190" s="51" t="n">
        <f aca="false">IF(G190 = 0, 0, (H190+I190)/G190)</f>
        <v>0.0512215807641947</v>
      </c>
      <c r="K190" s="52" t="n">
        <f aca="false">G190</f>
        <v>840.1</v>
      </c>
      <c r="L190" s="50" t="n">
        <v>0</v>
      </c>
      <c r="M190" s="50" t="n">
        <f aca="false">IF(F190&gt;K190,K190-G190-N190+L190,0)</f>
        <v>0</v>
      </c>
      <c r="N190" s="50" t="n">
        <v>0</v>
      </c>
      <c r="O190" s="50" t="n">
        <f aca="false">(G190-R190-I190-H190)</f>
        <v>746.175351637758</v>
      </c>
      <c r="P190" s="51" t="n">
        <f aca="false">IF(G190 = 0, 0 , (O190/G190))</f>
        <v>0.888198252157788</v>
      </c>
      <c r="Q190" s="50" t="n">
        <f aca="false">SUM(L190:O190)</f>
        <v>746.175351637758</v>
      </c>
      <c r="R190" s="50" t="n">
        <f aca="false">F190*((1+$F$4)^(D190/360)-1)</f>
        <v>50.8933983622424</v>
      </c>
      <c r="S190" s="51" t="n">
        <f aca="false">R190/G190</f>
        <v>0.0605801670780174</v>
      </c>
      <c r="T190" s="50" t="n">
        <f aca="false">L190+M190+O190+R190+H190+I190</f>
        <v>840.1</v>
      </c>
      <c r="U190" s="50" t="n">
        <f aca="false">F190-O190-M190-L190</f>
        <v>7173.41800512154</v>
      </c>
      <c r="V190" s="2" t="str">
        <f aca="false">IF(M190&gt;0, ROUND(PMT($F$9,$F$10-E190-2,-U190)+$G$2*$F$12/12, 2), "")</f>
        <v/>
      </c>
      <c r="W190" s="2"/>
      <c r="X190" s="2" t="e">
        <f aca="false">IF(V190 &gt; 0, (G190-V190), 0)</f>
        <v>#VALUE!</v>
      </c>
      <c r="Y190" s="2" t="e">
        <f aca="false">X190*(180-E190)-M190</f>
        <v>#VALUE!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customFormat="false" ht="15.75" hidden="false" customHeight="true" outlineLevel="0" collapsed="false">
      <c r="A191" s="45" t="s">
        <v>66</v>
      </c>
      <c r="B191" s="46" t="b">
        <f aca="false">FALSE()</f>
        <v>0</v>
      </c>
      <c r="C191" s="47" t="n">
        <v>51151</v>
      </c>
      <c r="D191" s="48" t="n">
        <f aca="false">C191-C190</f>
        <v>31</v>
      </c>
      <c r="E191" s="49" t="n">
        <v>172</v>
      </c>
      <c r="F191" s="50" t="n">
        <f aca="false">IF(U190&gt;0, U190, 0)</f>
        <v>7173.41800512154</v>
      </c>
      <c r="G191" s="50" t="n">
        <f aca="false">IF(AND(V190&lt;&gt;"", V190&lt;$F$7), V190, G190)</f>
        <v>840.1</v>
      </c>
      <c r="H191" s="50" t="n">
        <f aca="false">IF(F191&gt;$F$7, ($G$2*($F$12/12)), 0)</f>
        <v>43.03125</v>
      </c>
      <c r="I191" s="50" t="n">
        <v>0</v>
      </c>
      <c r="J191" s="51" t="n">
        <f aca="false">IF(G191 = 0, 0, (H191+I191)/G191)</f>
        <v>0.0512215807641947</v>
      </c>
      <c r="K191" s="52" t="n">
        <f aca="false">G191</f>
        <v>840.1</v>
      </c>
      <c r="L191" s="50" t="n">
        <v>0</v>
      </c>
      <c r="M191" s="50" t="n">
        <f aca="false">IF(F191&gt;K191,K191-G191-N191+L191,0)</f>
        <v>0</v>
      </c>
      <c r="N191" s="50" t="n">
        <v>0</v>
      </c>
      <c r="O191" s="50" t="n">
        <f aca="false">(G191-R191-I191-H191)</f>
        <v>749.428770843421</v>
      </c>
      <c r="P191" s="51" t="n">
        <f aca="false">IF(G191 = 0, 0 , (O191/G191))</f>
        <v>0.892070909229165</v>
      </c>
      <c r="Q191" s="50" t="n">
        <f aca="false">SUM(L191:O191)</f>
        <v>749.428770843421</v>
      </c>
      <c r="R191" s="50" t="n">
        <f aca="false">F191*((1+$F$4)^(D191/360)-1)</f>
        <v>47.6399791565787</v>
      </c>
      <c r="S191" s="51" t="n">
        <f aca="false">R191/G191</f>
        <v>0.0567075100066406</v>
      </c>
      <c r="T191" s="50" t="n">
        <f aca="false">L191+M191+O191+R191+H191+I191</f>
        <v>840.1</v>
      </c>
      <c r="U191" s="50" t="n">
        <f aca="false">F191-O191-M191-L191</f>
        <v>6423.98923427812</v>
      </c>
      <c r="V191" s="2" t="str">
        <f aca="false">IF(M191&gt;0, ROUND(PMT($F$9,$F$10-E191-2,-U191)+$G$2*$F$12/12, 2), "")</f>
        <v/>
      </c>
      <c r="W191" s="2"/>
      <c r="X191" s="2" t="e">
        <f aca="false">IF(V191 &gt; 0, (G191-V191), 0)</f>
        <v>#VALUE!</v>
      </c>
      <c r="Y191" s="2" t="e">
        <f aca="false">X191*(180-E191)-M191</f>
        <v>#VALUE!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customFormat="false" ht="15.75" hidden="false" customHeight="true" outlineLevel="0" collapsed="false">
      <c r="A192" s="45" t="s">
        <v>66</v>
      </c>
      <c r="B192" s="46" t="b">
        <f aca="false">FALSE()</f>
        <v>0</v>
      </c>
      <c r="C192" s="47" t="n">
        <v>51182</v>
      </c>
      <c r="D192" s="48" t="n">
        <f aca="false">C192-C191</f>
        <v>31</v>
      </c>
      <c r="E192" s="49" t="n">
        <v>173</v>
      </c>
      <c r="F192" s="50" t="n">
        <f aca="false">IF(U191&gt;0, U191, 0)</f>
        <v>6423.98923427812</v>
      </c>
      <c r="G192" s="50" t="n">
        <f aca="false">IF(AND(V191&lt;&gt;"", V191&lt;$F$7), V191, G191)</f>
        <v>840.1</v>
      </c>
      <c r="H192" s="50" t="n">
        <f aca="false">IF(F192&gt;$F$7, ($G$2*($F$12/12)), 0)</f>
        <v>43.03125</v>
      </c>
      <c r="I192" s="50" t="n">
        <v>0</v>
      </c>
      <c r="J192" s="51" t="n">
        <f aca="false">IF(G192 = 0, 0, (H192+I192)/G192)</f>
        <v>0.0512215807641947</v>
      </c>
      <c r="K192" s="52" t="n">
        <f aca="false">G192</f>
        <v>840.1</v>
      </c>
      <c r="L192" s="50" t="n">
        <v>0</v>
      </c>
      <c r="M192" s="50" t="n">
        <f aca="false">IF(F192&gt;K192,K192-G192-N192+L192,0)</f>
        <v>0</v>
      </c>
      <c r="N192" s="50" t="n">
        <v>0</v>
      </c>
      <c r="O192" s="50" t="n">
        <f aca="false">(G192-R192-I192-H192)</f>
        <v>754.405864189554</v>
      </c>
      <c r="P192" s="51" t="n">
        <f aca="false">IF(G192 = 0, 0 , (O192/G192))</f>
        <v>0.897995315069104</v>
      </c>
      <c r="Q192" s="50" t="n">
        <f aca="false">SUM(L192:O192)</f>
        <v>754.405864189554</v>
      </c>
      <c r="R192" s="50" t="n">
        <f aca="false">F192*((1+$F$4)^(D192/360)-1)</f>
        <v>42.6628858104458</v>
      </c>
      <c r="S192" s="51" t="n">
        <f aca="false">R192/G192</f>
        <v>0.0507831041667013</v>
      </c>
      <c r="T192" s="50" t="n">
        <f aca="false">L192+M192+O192+R192+H192+I192</f>
        <v>840.1</v>
      </c>
      <c r="U192" s="50" t="n">
        <f aca="false">F192-O192-M192-L192</f>
        <v>5669.58337008857</v>
      </c>
      <c r="V192" s="2" t="str">
        <f aca="false">IF(M192&gt;0, ROUND(PMT($F$9,$F$10-E192-2,-U192)+$G$2*$F$12/12, 2), "")</f>
        <v/>
      </c>
      <c r="W192" s="2"/>
      <c r="X192" s="2" t="e">
        <f aca="false">IF(V192 &gt; 0, (G192-V192), 0)</f>
        <v>#VALUE!</v>
      </c>
      <c r="Y192" s="2" t="e">
        <f aca="false">X192*(180-E192)-M192</f>
        <v>#VALUE!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customFormat="false" ht="15.75" hidden="false" customHeight="true" outlineLevel="0" collapsed="false">
      <c r="A193" s="45" t="s">
        <v>66</v>
      </c>
      <c r="B193" s="46" t="b">
        <f aca="false">FALSE()</f>
        <v>0</v>
      </c>
      <c r="C193" s="47" t="n">
        <v>51211</v>
      </c>
      <c r="D193" s="48" t="n">
        <f aca="false">C193-C192</f>
        <v>29</v>
      </c>
      <c r="E193" s="49" t="n">
        <v>174</v>
      </c>
      <c r="F193" s="50" t="n">
        <f aca="false">IF(U192&gt;0, U192, 0)</f>
        <v>5669.58337008857</v>
      </c>
      <c r="G193" s="50" t="n">
        <f aca="false">IF(AND(V192&lt;&gt;"", V192&lt;$F$7), V192, G192)</f>
        <v>840.1</v>
      </c>
      <c r="H193" s="50" t="n">
        <f aca="false">IF(F193&gt;$F$7, ($G$2*($F$12/12)), 0)</f>
        <v>43.03125</v>
      </c>
      <c r="I193" s="50" t="n">
        <v>0</v>
      </c>
      <c r="J193" s="51" t="n">
        <f aca="false">IF(G193 = 0, 0, (H193+I193)/G193)</f>
        <v>0.0512215807641947</v>
      </c>
      <c r="K193" s="52" t="n">
        <f aca="false">G193</f>
        <v>840.1</v>
      </c>
      <c r="L193" s="50" t="n">
        <v>0</v>
      </c>
      <c r="M193" s="50" t="n">
        <f aca="false">IF(F193&gt;K193,K193-G193-N193+L193,0)</f>
        <v>0</v>
      </c>
      <c r="N193" s="50" t="n">
        <v>0</v>
      </c>
      <c r="O193" s="50" t="n">
        <f aca="false">(G193-R193-I193-H193)</f>
        <v>761.852748543418</v>
      </c>
      <c r="P193" s="51" t="n">
        <f aca="false">IF(G193 = 0, 0 , (O193/G193))</f>
        <v>0.906859598313793</v>
      </c>
      <c r="Q193" s="50" t="n">
        <f aca="false">SUM(L193:O193)</f>
        <v>761.852748543418</v>
      </c>
      <c r="R193" s="50" t="n">
        <f aca="false">F193*((1+$F$4)^(D193/360)-1)</f>
        <v>35.2160014565821</v>
      </c>
      <c r="S193" s="51" t="n">
        <f aca="false">R193/G193</f>
        <v>0.0419188209220118</v>
      </c>
      <c r="T193" s="50" t="n">
        <f aca="false">L193+M193+O193+R193+H193+I193</f>
        <v>840.1</v>
      </c>
      <c r="U193" s="50" t="n">
        <f aca="false">F193-O193-M193-L193</f>
        <v>4907.73062154515</v>
      </c>
      <c r="V193" s="2" t="str">
        <f aca="false">IF(M193&gt;0, ROUND(PMT($F$9,$F$10-E193-2,-U193)+$G$2*$F$12/12, 2), "")</f>
        <v/>
      </c>
      <c r="W193" s="2"/>
      <c r="X193" s="2" t="e">
        <f aca="false">IF(V193 &gt; 0, (G193-V193), 0)</f>
        <v>#VALUE!</v>
      </c>
      <c r="Y193" s="2" t="e">
        <f aca="false">X193*(180-E193)-M193</f>
        <v>#VALUE!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customFormat="false" ht="15.75" hidden="false" customHeight="true" outlineLevel="0" collapsed="false">
      <c r="A194" s="45" t="s">
        <v>66</v>
      </c>
      <c r="B194" s="46" t="b">
        <f aca="false">FALSE()</f>
        <v>0</v>
      </c>
      <c r="C194" s="47" t="n">
        <v>51242</v>
      </c>
      <c r="D194" s="48" t="n">
        <f aca="false">C194-C193</f>
        <v>31</v>
      </c>
      <c r="E194" s="49" t="n">
        <v>175</v>
      </c>
      <c r="F194" s="50" t="n">
        <f aca="false">IF(U193&gt;0, U193, 0)</f>
        <v>4907.73062154515</v>
      </c>
      <c r="G194" s="50" t="n">
        <f aca="false">IF(AND(V193&lt;&gt;"", V193&lt;$F$7), V193, G193)</f>
        <v>840.1</v>
      </c>
      <c r="H194" s="50" t="n">
        <f aca="false">IF(F194&gt;$F$7, ($G$2*($F$12/12)), 0)</f>
        <v>43.03125</v>
      </c>
      <c r="I194" s="50" t="n">
        <v>0</v>
      </c>
      <c r="J194" s="51" t="n">
        <f aca="false">IF(G194 = 0, 0, (H194+I194)/G194)</f>
        <v>0.0512215807641947</v>
      </c>
      <c r="K194" s="52" t="n">
        <f aca="false">G194</f>
        <v>840.1</v>
      </c>
      <c r="L194" s="50" t="n">
        <v>0</v>
      </c>
      <c r="M194" s="50" t="n">
        <f aca="false">IF(F194&gt;K194,K194-G194-N194+L194,0)</f>
        <v>0</v>
      </c>
      <c r="N194" s="50" t="n">
        <v>0</v>
      </c>
      <c r="O194" s="50" t="n">
        <f aca="false">(G194-R194-I194-H194)</f>
        <v>764.475614572846</v>
      </c>
      <c r="P194" s="51" t="n">
        <f aca="false">IF(G194 = 0, 0 , (O194/G194))</f>
        <v>0.909981686195507</v>
      </c>
      <c r="Q194" s="50" t="n">
        <f aca="false">SUM(L194:O194)</f>
        <v>764.475614572846</v>
      </c>
      <c r="R194" s="50" t="n">
        <f aca="false">F194*((1+$F$4)^(D194/360)-1)</f>
        <v>32.5931354271544</v>
      </c>
      <c r="S194" s="51" t="n">
        <f aca="false">R194/G194</f>
        <v>0.0387967330402981</v>
      </c>
      <c r="T194" s="50" t="n">
        <f aca="false">L194+M194+O194+R194+H194+I194</f>
        <v>840.1</v>
      </c>
      <c r="U194" s="50" t="n">
        <f aca="false">F194-O194-M194-L194</f>
        <v>4143.2550069723</v>
      </c>
      <c r="V194" s="2" t="str">
        <f aca="false">IF(M194&gt;0, ROUND(PMT($F$9,$F$10-E194-2,-U194)+$G$2*$F$12/12, 2), "")</f>
        <v/>
      </c>
      <c r="W194" s="2"/>
      <c r="X194" s="2" t="e">
        <f aca="false">IF(V194 &gt; 0, (G194-V194), 0)</f>
        <v>#VALUE!</v>
      </c>
      <c r="Y194" s="2" t="e">
        <f aca="false">X194*(180-E194)-M194</f>
        <v>#VALUE!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customFormat="false" ht="15.75" hidden="false" customHeight="true" outlineLevel="0" collapsed="false">
      <c r="A195" s="45" t="s">
        <v>66</v>
      </c>
      <c r="B195" s="46" t="b">
        <f aca="false">FALSE()</f>
        <v>0</v>
      </c>
      <c r="C195" s="47" t="n">
        <v>51272</v>
      </c>
      <c r="D195" s="48" t="n">
        <f aca="false">C195-C194</f>
        <v>30</v>
      </c>
      <c r="E195" s="49" t="n">
        <v>176</v>
      </c>
      <c r="F195" s="50" t="n">
        <f aca="false">IF(U194&gt;0, U194, 0)</f>
        <v>4143.2550069723</v>
      </c>
      <c r="G195" s="50" t="n">
        <f aca="false">IF(AND(V194&lt;&gt;"", V194&lt;$F$7), V194, G194)</f>
        <v>840.1</v>
      </c>
      <c r="H195" s="50" t="n">
        <f aca="false">IF(F195&gt;$F$7, ($G$2*($F$12/12)), 0)</f>
        <v>43.03125</v>
      </c>
      <c r="I195" s="50" t="n">
        <v>0</v>
      </c>
      <c r="J195" s="51" t="n">
        <f aca="false">IF(G195 = 0, 0, (H195+I195)/G195)</f>
        <v>0.0512215807641947</v>
      </c>
      <c r="K195" s="52" t="n">
        <f aca="false">G195</f>
        <v>840.1</v>
      </c>
      <c r="L195" s="50" t="n">
        <v>0</v>
      </c>
      <c r="M195" s="50" t="n">
        <f aca="false">IF(F195&gt;K195,K195-G195-N195+L195,0)</f>
        <v>0</v>
      </c>
      <c r="N195" s="50" t="n">
        <v>0</v>
      </c>
      <c r="O195" s="50" t="n">
        <f aca="false">(G195-R195-I195-H195)</f>
        <v>770.443099150613</v>
      </c>
      <c r="P195" s="51" t="n">
        <f aca="false">IF(G195 = 0, 0 , (O195/G195))</f>
        <v>0.917084988871102</v>
      </c>
      <c r="Q195" s="50" t="n">
        <f aca="false">SUM(L195:O195)</f>
        <v>770.443099150613</v>
      </c>
      <c r="R195" s="50" t="n">
        <f aca="false">F195*((1+$F$4)^(D195/360)-1)</f>
        <v>26.6256508493869</v>
      </c>
      <c r="S195" s="51" t="n">
        <f aca="false">R195/G195</f>
        <v>0.0316934303647029</v>
      </c>
      <c r="T195" s="50" t="n">
        <f aca="false">L195+M195+O195+R195+H195+I195</f>
        <v>840.1</v>
      </c>
      <c r="U195" s="50" t="n">
        <f aca="false">F195-O195-M195-L195</f>
        <v>3372.81190782169</v>
      </c>
      <c r="V195" s="2" t="str">
        <f aca="false">IF(M195&gt;0, ROUND(PMT($F$9,$F$10-E195-2,-U195)+$G$2*$F$12/12, 2), "")</f>
        <v/>
      </c>
      <c r="W195" s="2"/>
      <c r="X195" s="2" t="e">
        <f aca="false">IF(V195 &gt; 0, (G195-V195), 0)</f>
        <v>#VALUE!</v>
      </c>
      <c r="Y195" s="2" t="e">
        <f aca="false">X195*(180-E195)-M195</f>
        <v>#VALUE!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customFormat="false" ht="15.75" hidden="false" customHeight="true" outlineLevel="0" collapsed="false">
      <c r="A196" s="45" t="s">
        <v>66</v>
      </c>
      <c r="B196" s="46" t="b">
        <f aca="false">FALSE()</f>
        <v>0</v>
      </c>
      <c r="C196" s="47" t="n">
        <v>51303</v>
      </c>
      <c r="D196" s="48" t="n">
        <f aca="false">C196-C195</f>
        <v>31</v>
      </c>
      <c r="E196" s="49" t="n">
        <v>177</v>
      </c>
      <c r="F196" s="50" t="n">
        <f aca="false">IF(U195&gt;0, U195, 0)</f>
        <v>3372.81190782169</v>
      </c>
      <c r="G196" s="50" t="n">
        <f aca="false">IF(AND(V195&lt;&gt;"", V195&lt;$F$7), V195, G195)</f>
        <v>840.1</v>
      </c>
      <c r="H196" s="50" t="n">
        <f aca="false">IF(F196&gt;$F$7, ($G$2*($F$12/12)), 0)</f>
        <v>43.03125</v>
      </c>
      <c r="I196" s="50" t="n">
        <v>0</v>
      </c>
      <c r="J196" s="51" t="n">
        <f aca="false">IF(G196 = 0, 0, (H196+I196)/G196)</f>
        <v>0.0512215807641947</v>
      </c>
      <c r="K196" s="52" t="n">
        <f aca="false">G196</f>
        <v>840.1</v>
      </c>
      <c r="L196" s="50" t="n">
        <v>0</v>
      </c>
      <c r="M196" s="50" t="n">
        <f aca="false">IF(F196&gt;K196,K196-G196-N196+L196,0)</f>
        <v>0</v>
      </c>
      <c r="N196" s="50" t="n">
        <v>0</v>
      </c>
      <c r="O196" s="50" t="n">
        <f aca="false">(G196-R196-I196-H196)</f>
        <v>774.669290094978</v>
      </c>
      <c r="P196" s="51" t="n">
        <f aca="false">IF(G196 = 0, 0 , (O196/G196))</f>
        <v>0.922115569688106</v>
      </c>
      <c r="Q196" s="50" t="n">
        <f aca="false">SUM(L196:O196)</f>
        <v>774.669290094978</v>
      </c>
      <c r="R196" s="50" t="n">
        <f aca="false">F196*((1+$F$4)^(D196/360)-1)</f>
        <v>22.3994599050224</v>
      </c>
      <c r="S196" s="51" t="n">
        <f aca="false">R196/G196</f>
        <v>0.0266628495476996</v>
      </c>
      <c r="T196" s="50" t="n">
        <f aca="false">L196+M196+O196+R196+H196+I196</f>
        <v>840.1</v>
      </c>
      <c r="U196" s="50" t="n">
        <f aca="false">F196-O196-M196-L196</f>
        <v>2598.14261772671</v>
      </c>
      <c r="V196" s="2" t="str">
        <f aca="false">IF(M196&gt;0, ROUND(PMT($F$9,$F$10-E196-2,-U196)+$G$2*$F$12/12, 2), "")</f>
        <v/>
      </c>
      <c r="W196" s="2"/>
      <c r="X196" s="2" t="e">
        <f aca="false">IF(V196 &gt; 0, (G196-V196), 0)</f>
        <v>#VALUE!</v>
      </c>
      <c r="Y196" s="2" t="e">
        <f aca="false">X196*(180-E196)-M196</f>
        <v>#VALUE!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customFormat="false" ht="15.75" hidden="false" customHeight="true" outlineLevel="0" collapsed="false">
      <c r="A197" s="45" t="s">
        <v>66</v>
      </c>
      <c r="B197" s="46" t="b">
        <f aca="false">FALSE()</f>
        <v>0</v>
      </c>
      <c r="C197" s="47" t="n">
        <v>51333</v>
      </c>
      <c r="D197" s="48" t="n">
        <f aca="false">C197-C196</f>
        <v>30</v>
      </c>
      <c r="E197" s="49" t="n">
        <v>178</v>
      </c>
      <c r="F197" s="50" t="n">
        <f aca="false">IF(U196&gt;0, U196, 0)</f>
        <v>2598.14261772671</v>
      </c>
      <c r="G197" s="50" t="n">
        <f aca="false">IF(AND(V196&lt;&gt;"", V196&lt;$F$7), V196, G196)</f>
        <v>840.1</v>
      </c>
      <c r="H197" s="50" t="n">
        <f aca="false">IF(F197&gt;$F$7, ($G$2*($F$12/12)), 0)</f>
        <v>43.03125</v>
      </c>
      <c r="I197" s="50" t="n">
        <v>0</v>
      </c>
      <c r="J197" s="51" t="n">
        <f aca="false">IF(G197 = 0, 0, (H197+I197)/G197)</f>
        <v>0.0512215807641947</v>
      </c>
      <c r="K197" s="52" t="n">
        <f aca="false">G197</f>
        <v>840.1</v>
      </c>
      <c r="L197" s="50" t="n">
        <v>0</v>
      </c>
      <c r="M197" s="50" t="n">
        <f aca="false">IF(F197&gt;K197,K197-G197-N197+L197,0)</f>
        <v>0</v>
      </c>
      <c r="N197" s="50" t="n">
        <v>0</v>
      </c>
      <c r="O197" s="50" t="n">
        <f aca="false">(G197-R197-I197-H197)</f>
        <v>780.372399406061</v>
      </c>
      <c r="P197" s="51" t="n">
        <f aca="false">IF(G197 = 0, 0 , (O197/G197))</f>
        <v>0.928904177367052</v>
      </c>
      <c r="Q197" s="50" t="n">
        <f aca="false">SUM(L197:O197)</f>
        <v>780.372399406061</v>
      </c>
      <c r="R197" s="50" t="n">
        <f aca="false">F197*((1+$F$4)^(D197/360)-1)</f>
        <v>16.6963505939392</v>
      </c>
      <c r="S197" s="51" t="n">
        <f aca="false">R197/G197</f>
        <v>0.0198742418687528</v>
      </c>
      <c r="T197" s="50" t="n">
        <f aca="false">L197+M197+O197+R197+H197+I197</f>
        <v>840.1</v>
      </c>
      <c r="U197" s="50" t="n">
        <f aca="false">F197-O197-M197-L197</f>
        <v>1817.77021832065</v>
      </c>
      <c r="V197" s="2" t="str">
        <f aca="false">IF(M197&gt;0, ROUND(PMT($F$9,$F$10-E197-2,-U197)+$G$2*$F$12/12, 2), "")</f>
        <v/>
      </c>
      <c r="W197" s="2"/>
      <c r="X197" s="2" t="e">
        <f aca="false">IF(V197 &gt; 0, (G197-V197), 0)</f>
        <v>#VALUE!</v>
      </c>
      <c r="Y197" s="2" t="e">
        <f aca="false">X197*(180-E197)-M197</f>
        <v>#VALUE!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customFormat="false" ht="15.75" hidden="false" customHeight="true" outlineLevel="0" collapsed="false">
      <c r="A198" s="45" t="s">
        <v>66</v>
      </c>
      <c r="B198" s="46" t="b">
        <f aca="false">FALSE()</f>
        <v>0</v>
      </c>
      <c r="C198" s="47" t="n">
        <v>51364</v>
      </c>
      <c r="D198" s="48" t="n">
        <f aca="false">C198-C197</f>
        <v>31</v>
      </c>
      <c r="E198" s="49" t="n">
        <v>179</v>
      </c>
      <c r="F198" s="50" t="n">
        <f aca="false">IF(U197&gt;0, U197, 0)</f>
        <v>1817.77021832065</v>
      </c>
      <c r="G198" s="50" t="n">
        <f aca="false">IF(AND(V197&lt;&gt;"", V197&lt;$F$7), V197, G197)</f>
        <v>840.1</v>
      </c>
      <c r="H198" s="50" t="n">
        <f aca="false">IF(F198&gt;$F$7, ($G$2*($F$12/12)), 0)</f>
        <v>43.03125</v>
      </c>
      <c r="I198" s="50" t="n">
        <v>0</v>
      </c>
      <c r="J198" s="51" t="n">
        <f aca="false">IF(G198 = 0, 0, (H198+I198)/G198)</f>
        <v>0.0512215807641947</v>
      </c>
      <c r="K198" s="52" t="n">
        <f aca="false">G198</f>
        <v>840.1</v>
      </c>
      <c r="L198" s="50" t="n">
        <v>0</v>
      </c>
      <c r="M198" s="50" t="n">
        <f aca="false">IF(F198&gt;K198,K198-G198-N198+L198,0)</f>
        <v>0</v>
      </c>
      <c r="N198" s="50" t="n">
        <v>0</v>
      </c>
      <c r="O198" s="50" t="n">
        <f aca="false">(G198-R198-I198-H198)</f>
        <v>784.996605974597</v>
      </c>
      <c r="P198" s="51" t="n">
        <f aca="false">IF(G198 = 0, 0 , (O198/G198))</f>
        <v>0.934408529906674</v>
      </c>
      <c r="Q198" s="50" t="n">
        <f aca="false">SUM(L198:O198)</f>
        <v>784.996605974597</v>
      </c>
      <c r="R198" s="50" t="n">
        <f aca="false">F198*((1+$F$4)^(D198/360)-1)</f>
        <v>12.0721440254029</v>
      </c>
      <c r="S198" s="51" t="n">
        <f aca="false">R198/G198</f>
        <v>0.0143698893291309</v>
      </c>
      <c r="T198" s="50" t="n">
        <f aca="false">L198+M198+O198+R198+H198+I198</f>
        <v>840.1</v>
      </c>
      <c r="U198" s="50" t="n">
        <f aca="false">F198-O198-M198-L198</f>
        <v>1032.77361234606</v>
      </c>
      <c r="V198" s="2" t="str">
        <f aca="false">IF(M198&gt;0, ROUND(PMT($F$9,$F$10-E198-2,-U198)+$G$2*$F$12/12, 2), "")</f>
        <v/>
      </c>
      <c r="W198" s="2"/>
      <c r="X198" s="2" t="e">
        <f aca="false">IF(V198 &gt; 0, (G198-V198), 0)</f>
        <v>#VALUE!</v>
      </c>
      <c r="Y198" s="2" t="e">
        <f aca="false">X198*(180-E198)-M198</f>
        <v>#VALUE!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customFormat="false" ht="15.75" hidden="false" customHeight="true" outlineLevel="0" collapsed="false">
      <c r="A199" s="45" t="s">
        <v>66</v>
      </c>
      <c r="B199" s="46" t="b">
        <f aca="false">FALSE()</f>
        <v>0</v>
      </c>
      <c r="C199" s="47" t="n">
        <v>51395</v>
      </c>
      <c r="D199" s="48" t="n">
        <f aca="false">C199-C198</f>
        <v>31</v>
      </c>
      <c r="E199" s="49" t="n">
        <v>180</v>
      </c>
      <c r="F199" s="50" t="n">
        <f aca="false">IF(U198&gt;0, U198, 0)</f>
        <v>1032.77361234606</v>
      </c>
      <c r="G199" s="50" t="n">
        <f aca="false">IF(AND(V198&lt;&gt;"", V198&lt;$F$7), V198, G198)</f>
        <v>840.1</v>
      </c>
      <c r="H199" s="50" t="n">
        <f aca="false">IF(F199&gt;$F$7, ($G$2*($F$12/12)), 0)</f>
        <v>0</v>
      </c>
      <c r="I199" s="50" t="n">
        <v>0</v>
      </c>
      <c r="J199" s="51" t="n">
        <f aca="false">IF(G199 = 0, 0, (H199+I199)/G199)</f>
        <v>0</v>
      </c>
      <c r="K199" s="52" t="n">
        <f aca="false">G199</f>
        <v>840.1</v>
      </c>
      <c r="L199" s="50" t="n">
        <v>0</v>
      </c>
      <c r="M199" s="50" t="n">
        <f aca="false">IF(F199&gt;K199,K199-G199-N199+L199,0)</f>
        <v>0</v>
      </c>
      <c r="N199" s="50" t="n">
        <v>0</v>
      </c>
      <c r="O199" s="50" t="n">
        <f aca="false">(G199-R199-I199-H199)</f>
        <v>833.241161810102</v>
      </c>
      <c r="P199" s="51" t="n">
        <f aca="false">IF(G199 = 0, 0 , (O199/G199))</f>
        <v>0.991835688382457</v>
      </c>
      <c r="Q199" s="50" t="n">
        <f aca="false">SUM(L199:O199)</f>
        <v>833.241161810102</v>
      </c>
      <c r="R199" s="50" t="n">
        <f aca="false">F199*((1+$F$4)^(D199/360)-1)</f>
        <v>6.85883818989814</v>
      </c>
      <c r="S199" s="51" t="n">
        <f aca="false">R199/G199</f>
        <v>0.00816431161754332</v>
      </c>
      <c r="T199" s="50" t="n">
        <f aca="false">L199+M199+O199+R199+H199+I199</f>
        <v>840.1</v>
      </c>
      <c r="U199" s="50" t="n">
        <f aca="false">F199-O199-M199-L199</f>
        <v>199.532450535953</v>
      </c>
      <c r="V199" s="2" t="str">
        <f aca="false">IF(M199&gt;0, ROUND(PMT($F$9,$F$10-E199-2,-U199)+$G$2*$F$12/12, 2), "")</f>
        <v/>
      </c>
      <c r="W199" s="2"/>
      <c r="X199" s="2" t="e">
        <f aca="false">IF(V199 &gt; 0, (G199-V199), 0)</f>
        <v>#VALUE!</v>
      </c>
      <c r="Y199" s="2" t="e">
        <f aca="false">X199*(180-E199)-M199</f>
        <v>#VALUE!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customFormat="false" ht="15.75" hidden="false" customHeight="true" outlineLevel="0" collapsed="false">
      <c r="A200" s="62"/>
      <c r="B200" s="62"/>
      <c r="C200" s="62"/>
      <c r="D200" s="48"/>
      <c r="E200" s="2"/>
      <c r="F200" s="4"/>
      <c r="G200" s="4"/>
      <c r="H200" s="5"/>
      <c r="I200" s="5"/>
      <c r="J200" s="63"/>
      <c r="K200" s="2"/>
      <c r="L200" s="2"/>
      <c r="M200" s="2"/>
      <c r="N200" s="6"/>
      <c r="O200" s="6"/>
      <c r="P200" s="6"/>
      <c r="Q200" s="6"/>
      <c r="R200" s="4"/>
      <c r="S200" s="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customFormat="false" ht="15.75" hidden="false" customHeight="true" outlineLevel="0" collapsed="false">
      <c r="A201" s="62"/>
      <c r="B201" s="62"/>
      <c r="C201" s="62"/>
      <c r="D201" s="48"/>
      <c r="E201" s="2"/>
      <c r="F201" s="4"/>
      <c r="G201" s="4"/>
      <c r="H201" s="5"/>
      <c r="I201" s="5"/>
      <c r="J201" s="63"/>
      <c r="K201" s="2"/>
      <c r="L201" s="2"/>
      <c r="M201" s="2"/>
      <c r="N201" s="6"/>
      <c r="O201" s="6"/>
      <c r="P201" s="6"/>
      <c r="Q201" s="6"/>
      <c r="R201" s="4"/>
      <c r="S201" s="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4"/>
      <c r="G202" s="4"/>
      <c r="H202" s="5"/>
      <c r="I202" s="5"/>
      <c r="J202" s="5"/>
      <c r="K202" s="2"/>
      <c r="L202" s="2"/>
      <c r="M202" s="2"/>
      <c r="N202" s="6"/>
      <c r="O202" s="6"/>
      <c r="P202" s="6"/>
      <c r="Q202" s="6"/>
      <c r="R202" s="4"/>
      <c r="S202" s="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4"/>
      <c r="G203" s="4"/>
      <c r="H203" s="5"/>
      <c r="I203" s="5"/>
      <c r="J203" s="5"/>
      <c r="K203" s="2"/>
      <c r="L203" s="2"/>
      <c r="M203" s="2"/>
      <c r="N203" s="6"/>
      <c r="O203" s="6"/>
      <c r="P203" s="6"/>
      <c r="Q203" s="6"/>
      <c r="R203" s="4"/>
      <c r="S203" s="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4"/>
      <c r="G204" s="4"/>
      <c r="H204" s="5"/>
      <c r="I204" s="5"/>
      <c r="J204" s="5"/>
      <c r="K204" s="2"/>
      <c r="L204" s="2"/>
      <c r="M204" s="2"/>
      <c r="N204" s="6"/>
      <c r="O204" s="6"/>
      <c r="P204" s="6"/>
      <c r="Q204" s="6"/>
      <c r="R204" s="4"/>
      <c r="S204" s="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4"/>
      <c r="G205" s="4"/>
      <c r="H205" s="5"/>
      <c r="I205" s="5"/>
      <c r="J205" s="5"/>
      <c r="K205" s="2"/>
      <c r="L205" s="2"/>
      <c r="M205" s="2"/>
      <c r="N205" s="6"/>
      <c r="O205" s="6"/>
      <c r="P205" s="6"/>
      <c r="Q205" s="6"/>
      <c r="R205" s="4"/>
      <c r="S205" s="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4"/>
      <c r="G206" s="4"/>
      <c r="H206" s="5"/>
      <c r="I206" s="5"/>
      <c r="J206" s="5"/>
      <c r="K206" s="2"/>
      <c r="L206" s="2"/>
      <c r="M206" s="2"/>
      <c r="N206" s="6"/>
      <c r="O206" s="6"/>
      <c r="P206" s="6"/>
      <c r="Q206" s="6"/>
      <c r="R206" s="4"/>
      <c r="S206" s="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4"/>
      <c r="G207" s="4"/>
      <c r="H207" s="5"/>
      <c r="I207" s="5"/>
      <c r="J207" s="5"/>
      <c r="K207" s="2"/>
      <c r="L207" s="2"/>
      <c r="M207" s="2"/>
      <c r="N207" s="6"/>
      <c r="O207" s="6"/>
      <c r="P207" s="6"/>
      <c r="Q207" s="6"/>
      <c r="R207" s="4"/>
      <c r="S207" s="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4"/>
      <c r="G208" s="4"/>
      <c r="H208" s="5"/>
      <c r="I208" s="5"/>
      <c r="J208" s="5"/>
      <c r="K208" s="2"/>
      <c r="L208" s="2"/>
      <c r="M208" s="2"/>
      <c r="N208" s="6"/>
      <c r="O208" s="6"/>
      <c r="P208" s="6"/>
      <c r="Q208" s="6"/>
      <c r="R208" s="4"/>
      <c r="S208" s="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4"/>
      <c r="G209" s="4"/>
      <c r="H209" s="5"/>
      <c r="I209" s="5"/>
      <c r="J209" s="5"/>
      <c r="K209" s="2"/>
      <c r="L209" s="2"/>
      <c r="M209" s="2"/>
      <c r="N209" s="6"/>
      <c r="O209" s="6"/>
      <c r="P209" s="6"/>
      <c r="Q209" s="6"/>
      <c r="R209" s="4"/>
      <c r="S209" s="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4"/>
      <c r="G210" s="4"/>
      <c r="H210" s="5"/>
      <c r="I210" s="5"/>
      <c r="J210" s="5"/>
      <c r="K210" s="2"/>
      <c r="L210" s="2"/>
      <c r="M210" s="2"/>
      <c r="N210" s="6"/>
      <c r="O210" s="6"/>
      <c r="P210" s="6"/>
      <c r="Q210" s="6"/>
      <c r="R210" s="4"/>
      <c r="S210" s="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4"/>
      <c r="G211" s="4"/>
      <c r="H211" s="5"/>
      <c r="I211" s="5"/>
      <c r="J211" s="5"/>
      <c r="K211" s="2"/>
      <c r="L211" s="2"/>
      <c r="M211" s="2"/>
      <c r="N211" s="6"/>
      <c r="O211" s="6"/>
      <c r="P211" s="6"/>
      <c r="Q211" s="6"/>
      <c r="R211" s="4"/>
      <c r="S211" s="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4"/>
      <c r="G212" s="4"/>
      <c r="H212" s="5"/>
      <c r="I212" s="5"/>
      <c r="J212" s="5"/>
      <c r="K212" s="2"/>
      <c r="L212" s="2"/>
      <c r="M212" s="2"/>
      <c r="N212" s="6"/>
      <c r="O212" s="6"/>
      <c r="P212" s="6"/>
      <c r="Q212" s="6"/>
      <c r="R212" s="4"/>
      <c r="S212" s="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4"/>
      <c r="G213" s="4"/>
      <c r="H213" s="5"/>
      <c r="I213" s="5"/>
      <c r="J213" s="5"/>
      <c r="K213" s="2"/>
      <c r="L213" s="2"/>
      <c r="M213" s="2"/>
      <c r="N213" s="6"/>
      <c r="O213" s="6"/>
      <c r="P213" s="6"/>
      <c r="Q213" s="6"/>
      <c r="R213" s="4"/>
      <c r="S213" s="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4"/>
      <c r="G214" s="4"/>
      <c r="H214" s="5"/>
      <c r="I214" s="5"/>
      <c r="J214" s="5"/>
      <c r="K214" s="2"/>
      <c r="L214" s="2"/>
      <c r="M214" s="2"/>
      <c r="N214" s="6"/>
      <c r="O214" s="6"/>
      <c r="P214" s="6"/>
      <c r="Q214" s="6"/>
      <c r="R214" s="4"/>
      <c r="S214" s="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4"/>
      <c r="G215" s="4"/>
      <c r="H215" s="5"/>
      <c r="I215" s="5"/>
      <c r="J215" s="5"/>
      <c r="K215" s="2"/>
      <c r="L215" s="2"/>
      <c r="M215" s="2"/>
      <c r="N215" s="6"/>
      <c r="O215" s="6"/>
      <c r="P215" s="6"/>
      <c r="Q215" s="6"/>
      <c r="R215" s="4"/>
      <c r="S215" s="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4"/>
      <c r="G216" s="4"/>
      <c r="H216" s="5"/>
      <c r="I216" s="5"/>
      <c r="J216" s="5"/>
      <c r="K216" s="2"/>
      <c r="L216" s="2"/>
      <c r="M216" s="2"/>
      <c r="N216" s="6"/>
      <c r="O216" s="6"/>
      <c r="P216" s="6"/>
      <c r="Q216" s="6"/>
      <c r="R216" s="4"/>
      <c r="S216" s="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4"/>
      <c r="G217" s="4"/>
      <c r="H217" s="5"/>
      <c r="I217" s="5"/>
      <c r="J217" s="5"/>
      <c r="K217" s="2"/>
      <c r="L217" s="2"/>
      <c r="M217" s="2"/>
      <c r="N217" s="6"/>
      <c r="O217" s="6"/>
      <c r="P217" s="6"/>
      <c r="Q217" s="6"/>
      <c r="R217" s="4"/>
      <c r="S217" s="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4"/>
      <c r="G218" s="4"/>
      <c r="H218" s="5"/>
      <c r="I218" s="5"/>
      <c r="J218" s="5"/>
      <c r="K218" s="2"/>
      <c r="L218" s="2"/>
      <c r="M218" s="2"/>
      <c r="N218" s="6"/>
      <c r="O218" s="6"/>
      <c r="P218" s="6"/>
      <c r="Q218" s="6"/>
      <c r="R218" s="4"/>
      <c r="S218" s="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4"/>
      <c r="G219" s="4"/>
      <c r="H219" s="5"/>
      <c r="I219" s="5"/>
      <c r="J219" s="5"/>
      <c r="K219" s="2"/>
      <c r="L219" s="2"/>
      <c r="M219" s="2"/>
      <c r="N219" s="6"/>
      <c r="O219" s="6"/>
      <c r="P219" s="6"/>
      <c r="Q219" s="6"/>
      <c r="R219" s="4"/>
      <c r="S219" s="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4"/>
      <c r="G220" s="4"/>
      <c r="H220" s="5"/>
      <c r="I220" s="5"/>
      <c r="J220" s="5"/>
      <c r="K220" s="2"/>
      <c r="L220" s="2"/>
      <c r="M220" s="2"/>
      <c r="N220" s="6"/>
      <c r="O220" s="6"/>
      <c r="P220" s="6"/>
      <c r="Q220" s="6"/>
      <c r="R220" s="4"/>
      <c r="S220" s="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4"/>
      <c r="G221" s="4"/>
      <c r="H221" s="5"/>
      <c r="I221" s="5"/>
      <c r="J221" s="5"/>
      <c r="K221" s="2"/>
      <c r="L221" s="2"/>
      <c r="M221" s="2"/>
      <c r="N221" s="6"/>
      <c r="O221" s="6"/>
      <c r="P221" s="6"/>
      <c r="Q221" s="6"/>
      <c r="R221" s="4"/>
      <c r="S221" s="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4"/>
      <c r="G222" s="4"/>
      <c r="H222" s="5"/>
      <c r="I222" s="5"/>
      <c r="J222" s="5"/>
      <c r="K222" s="2"/>
      <c r="L222" s="2"/>
      <c r="M222" s="2"/>
      <c r="N222" s="6"/>
      <c r="O222" s="6"/>
      <c r="P222" s="6"/>
      <c r="Q222" s="6"/>
      <c r="R222" s="4"/>
      <c r="S222" s="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4"/>
      <c r="G223" s="4"/>
      <c r="H223" s="5"/>
      <c r="I223" s="5"/>
      <c r="J223" s="5"/>
      <c r="K223" s="2"/>
      <c r="L223" s="2"/>
      <c r="M223" s="2"/>
      <c r="N223" s="6"/>
      <c r="O223" s="6"/>
      <c r="P223" s="6"/>
      <c r="Q223" s="6"/>
      <c r="R223" s="4"/>
      <c r="S223" s="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4"/>
      <c r="G224" s="4"/>
      <c r="H224" s="5"/>
      <c r="I224" s="5"/>
      <c r="J224" s="5"/>
      <c r="K224" s="2"/>
      <c r="L224" s="2"/>
      <c r="M224" s="2"/>
      <c r="N224" s="6"/>
      <c r="O224" s="6"/>
      <c r="P224" s="6"/>
      <c r="Q224" s="6"/>
      <c r="R224" s="4"/>
      <c r="S224" s="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4"/>
      <c r="G225" s="4"/>
      <c r="H225" s="5"/>
      <c r="I225" s="5"/>
      <c r="J225" s="5"/>
      <c r="K225" s="2"/>
      <c r="L225" s="2"/>
      <c r="M225" s="2"/>
      <c r="N225" s="6"/>
      <c r="O225" s="6"/>
      <c r="P225" s="6"/>
      <c r="Q225" s="6"/>
      <c r="R225" s="4"/>
      <c r="S225" s="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4"/>
      <c r="G226" s="4"/>
      <c r="H226" s="5"/>
      <c r="I226" s="5"/>
      <c r="J226" s="5"/>
      <c r="K226" s="2"/>
      <c r="L226" s="2"/>
      <c r="M226" s="2"/>
      <c r="N226" s="6"/>
      <c r="O226" s="6"/>
      <c r="P226" s="6"/>
      <c r="Q226" s="6"/>
      <c r="R226" s="4"/>
      <c r="S226" s="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4"/>
      <c r="G227" s="4"/>
      <c r="H227" s="5"/>
      <c r="I227" s="5"/>
      <c r="J227" s="5"/>
      <c r="K227" s="2"/>
      <c r="L227" s="2"/>
      <c r="M227" s="2"/>
      <c r="N227" s="6"/>
      <c r="O227" s="6"/>
      <c r="P227" s="6"/>
      <c r="Q227" s="6"/>
      <c r="R227" s="4"/>
      <c r="S227" s="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4"/>
      <c r="G228" s="4"/>
      <c r="H228" s="5"/>
      <c r="I228" s="5"/>
      <c r="J228" s="5"/>
      <c r="K228" s="2"/>
      <c r="L228" s="2"/>
      <c r="M228" s="2"/>
      <c r="N228" s="6"/>
      <c r="O228" s="6"/>
      <c r="P228" s="6"/>
      <c r="Q228" s="6"/>
      <c r="R228" s="4"/>
      <c r="S228" s="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4"/>
      <c r="G229" s="4"/>
      <c r="H229" s="5"/>
      <c r="I229" s="5"/>
      <c r="J229" s="5"/>
      <c r="K229" s="2"/>
      <c r="L229" s="2"/>
      <c r="M229" s="2"/>
      <c r="N229" s="6"/>
      <c r="O229" s="6"/>
      <c r="P229" s="6"/>
      <c r="Q229" s="6"/>
      <c r="R229" s="4"/>
      <c r="S229" s="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4"/>
      <c r="G230" s="4"/>
      <c r="H230" s="5"/>
      <c r="I230" s="5"/>
      <c r="J230" s="5"/>
      <c r="K230" s="2"/>
      <c r="L230" s="2"/>
      <c r="M230" s="2"/>
      <c r="N230" s="6"/>
      <c r="O230" s="6"/>
      <c r="P230" s="6"/>
      <c r="Q230" s="6"/>
      <c r="R230" s="4"/>
      <c r="S230" s="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4"/>
      <c r="G231" s="4"/>
      <c r="H231" s="5"/>
      <c r="I231" s="5"/>
      <c r="J231" s="5"/>
      <c r="K231" s="2"/>
      <c r="L231" s="2"/>
      <c r="M231" s="2"/>
      <c r="N231" s="6"/>
      <c r="O231" s="6"/>
      <c r="P231" s="6"/>
      <c r="Q231" s="6"/>
      <c r="R231" s="4"/>
      <c r="S231" s="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4"/>
      <c r="G232" s="4"/>
      <c r="H232" s="5"/>
      <c r="I232" s="5"/>
      <c r="J232" s="5"/>
      <c r="K232" s="2"/>
      <c r="L232" s="2"/>
      <c r="M232" s="2"/>
      <c r="N232" s="6"/>
      <c r="O232" s="6"/>
      <c r="P232" s="6"/>
      <c r="Q232" s="6"/>
      <c r="R232" s="4"/>
      <c r="S232" s="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4"/>
      <c r="G233" s="4"/>
      <c r="H233" s="5"/>
      <c r="I233" s="5"/>
      <c r="J233" s="5"/>
      <c r="K233" s="2"/>
      <c r="L233" s="2"/>
      <c r="M233" s="2"/>
      <c r="N233" s="6"/>
      <c r="O233" s="6"/>
      <c r="P233" s="6"/>
      <c r="Q233" s="6"/>
      <c r="R233" s="4"/>
      <c r="S233" s="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4"/>
      <c r="G234" s="4"/>
      <c r="H234" s="5"/>
      <c r="I234" s="5"/>
      <c r="J234" s="5"/>
      <c r="K234" s="2"/>
      <c r="L234" s="2"/>
      <c r="M234" s="2"/>
      <c r="N234" s="6"/>
      <c r="O234" s="6"/>
      <c r="P234" s="6"/>
      <c r="Q234" s="6"/>
      <c r="R234" s="4"/>
      <c r="S234" s="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4"/>
      <c r="G235" s="4"/>
      <c r="H235" s="5"/>
      <c r="I235" s="5"/>
      <c r="J235" s="5"/>
      <c r="K235" s="2"/>
      <c r="L235" s="2"/>
      <c r="M235" s="2"/>
      <c r="N235" s="6"/>
      <c r="O235" s="6"/>
      <c r="P235" s="6"/>
      <c r="Q235" s="6"/>
      <c r="R235" s="4"/>
      <c r="S235" s="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4"/>
      <c r="G236" s="4"/>
      <c r="H236" s="5"/>
      <c r="I236" s="5"/>
      <c r="J236" s="5"/>
      <c r="K236" s="2"/>
      <c r="L236" s="2"/>
      <c r="M236" s="2"/>
      <c r="N236" s="6"/>
      <c r="O236" s="6"/>
      <c r="P236" s="6"/>
      <c r="Q236" s="6"/>
      <c r="R236" s="4"/>
      <c r="S236" s="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4"/>
      <c r="G237" s="4"/>
      <c r="H237" s="5"/>
      <c r="I237" s="5"/>
      <c r="J237" s="5"/>
      <c r="K237" s="2"/>
      <c r="L237" s="2"/>
      <c r="M237" s="2"/>
      <c r="N237" s="6"/>
      <c r="O237" s="6"/>
      <c r="P237" s="6"/>
      <c r="Q237" s="6"/>
      <c r="R237" s="4"/>
      <c r="S237" s="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4"/>
      <c r="G238" s="4"/>
      <c r="H238" s="5"/>
      <c r="I238" s="5"/>
      <c r="J238" s="5"/>
      <c r="K238" s="2"/>
      <c r="L238" s="2"/>
      <c r="M238" s="2"/>
      <c r="N238" s="6"/>
      <c r="O238" s="6"/>
      <c r="P238" s="6"/>
      <c r="Q238" s="6"/>
      <c r="R238" s="4"/>
      <c r="S238" s="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4"/>
      <c r="G239" s="4"/>
      <c r="H239" s="5"/>
      <c r="I239" s="5"/>
      <c r="J239" s="5"/>
      <c r="K239" s="2"/>
      <c r="L239" s="2"/>
      <c r="M239" s="2"/>
      <c r="N239" s="6"/>
      <c r="O239" s="6"/>
      <c r="P239" s="6"/>
      <c r="Q239" s="6"/>
      <c r="R239" s="4"/>
      <c r="S239" s="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4"/>
      <c r="G240" s="4"/>
      <c r="H240" s="5"/>
      <c r="I240" s="5"/>
      <c r="J240" s="5"/>
      <c r="K240" s="2"/>
      <c r="L240" s="2"/>
      <c r="M240" s="2"/>
      <c r="N240" s="6"/>
      <c r="O240" s="6"/>
      <c r="P240" s="6"/>
      <c r="Q240" s="6"/>
      <c r="R240" s="4"/>
      <c r="S240" s="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4"/>
      <c r="G241" s="4"/>
      <c r="H241" s="5"/>
      <c r="I241" s="5"/>
      <c r="J241" s="5"/>
      <c r="K241" s="2"/>
      <c r="L241" s="2"/>
      <c r="M241" s="2"/>
      <c r="N241" s="6"/>
      <c r="O241" s="6"/>
      <c r="P241" s="6"/>
      <c r="Q241" s="6"/>
      <c r="R241" s="4"/>
      <c r="S241" s="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4"/>
      <c r="G242" s="4"/>
      <c r="H242" s="5"/>
      <c r="I242" s="5"/>
      <c r="J242" s="5"/>
      <c r="K242" s="2"/>
      <c r="L242" s="2"/>
      <c r="M242" s="2"/>
      <c r="N242" s="6"/>
      <c r="O242" s="6"/>
      <c r="P242" s="6"/>
      <c r="Q242" s="6"/>
      <c r="R242" s="4"/>
      <c r="S242" s="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4"/>
      <c r="G243" s="4"/>
      <c r="H243" s="5"/>
      <c r="I243" s="5"/>
      <c r="J243" s="5"/>
      <c r="K243" s="2"/>
      <c r="L243" s="2"/>
      <c r="M243" s="2"/>
      <c r="N243" s="6"/>
      <c r="O243" s="6"/>
      <c r="P243" s="6"/>
      <c r="Q243" s="6"/>
      <c r="R243" s="4"/>
      <c r="S243" s="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4"/>
      <c r="G244" s="4"/>
      <c r="H244" s="5"/>
      <c r="I244" s="5"/>
      <c r="J244" s="5"/>
      <c r="K244" s="2"/>
      <c r="L244" s="2"/>
      <c r="M244" s="2"/>
      <c r="N244" s="6"/>
      <c r="O244" s="6"/>
      <c r="P244" s="6"/>
      <c r="Q244" s="6"/>
      <c r="R244" s="4"/>
      <c r="S244" s="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4"/>
      <c r="G245" s="4"/>
      <c r="H245" s="5"/>
      <c r="I245" s="5"/>
      <c r="J245" s="5"/>
      <c r="K245" s="2"/>
      <c r="L245" s="2"/>
      <c r="M245" s="2"/>
      <c r="N245" s="6"/>
      <c r="O245" s="6"/>
      <c r="P245" s="6"/>
      <c r="Q245" s="6"/>
      <c r="R245" s="4"/>
      <c r="S245" s="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4"/>
      <c r="G246" s="4"/>
      <c r="H246" s="5"/>
      <c r="I246" s="5"/>
      <c r="J246" s="5"/>
      <c r="K246" s="2"/>
      <c r="L246" s="2"/>
      <c r="M246" s="2"/>
      <c r="N246" s="6"/>
      <c r="O246" s="6"/>
      <c r="P246" s="6"/>
      <c r="Q246" s="6"/>
      <c r="R246" s="4"/>
      <c r="S246" s="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4"/>
      <c r="G247" s="4"/>
      <c r="H247" s="5"/>
      <c r="I247" s="5"/>
      <c r="J247" s="5"/>
      <c r="K247" s="2"/>
      <c r="L247" s="2"/>
      <c r="M247" s="2"/>
      <c r="N247" s="6"/>
      <c r="O247" s="6"/>
      <c r="P247" s="6"/>
      <c r="Q247" s="6"/>
      <c r="R247" s="4"/>
      <c r="S247" s="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4"/>
      <c r="G248" s="4"/>
      <c r="H248" s="5"/>
      <c r="I248" s="5"/>
      <c r="J248" s="5"/>
      <c r="K248" s="2"/>
      <c r="L248" s="2"/>
      <c r="M248" s="2"/>
      <c r="N248" s="6"/>
      <c r="O248" s="6"/>
      <c r="P248" s="6"/>
      <c r="Q248" s="6"/>
      <c r="R248" s="4"/>
      <c r="S248" s="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4"/>
      <c r="G249" s="4"/>
      <c r="H249" s="5"/>
      <c r="I249" s="5"/>
      <c r="J249" s="5"/>
      <c r="K249" s="2"/>
      <c r="L249" s="2"/>
      <c r="M249" s="2"/>
      <c r="N249" s="6"/>
      <c r="O249" s="6"/>
      <c r="P249" s="6"/>
      <c r="Q249" s="6"/>
      <c r="R249" s="4"/>
      <c r="S249" s="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4"/>
      <c r="G250" s="4"/>
      <c r="H250" s="5"/>
      <c r="I250" s="5"/>
      <c r="J250" s="5"/>
      <c r="K250" s="2"/>
      <c r="L250" s="2"/>
      <c r="M250" s="2"/>
      <c r="N250" s="6"/>
      <c r="O250" s="6"/>
      <c r="P250" s="6"/>
      <c r="Q250" s="6"/>
      <c r="R250" s="4"/>
      <c r="S250" s="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4"/>
      <c r="G251" s="4"/>
      <c r="H251" s="5"/>
      <c r="I251" s="5"/>
      <c r="J251" s="5"/>
      <c r="K251" s="2"/>
      <c r="L251" s="2"/>
      <c r="M251" s="2"/>
      <c r="N251" s="6"/>
      <c r="O251" s="6"/>
      <c r="P251" s="6"/>
      <c r="Q251" s="6"/>
      <c r="R251" s="4"/>
      <c r="S251" s="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4"/>
      <c r="G252" s="4"/>
      <c r="H252" s="5"/>
      <c r="I252" s="5"/>
      <c r="J252" s="5"/>
      <c r="K252" s="2"/>
      <c r="L252" s="2"/>
      <c r="M252" s="2"/>
      <c r="N252" s="6"/>
      <c r="O252" s="6"/>
      <c r="P252" s="6"/>
      <c r="Q252" s="6"/>
      <c r="R252" s="4"/>
      <c r="S252" s="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4"/>
      <c r="G253" s="4"/>
      <c r="H253" s="5"/>
      <c r="I253" s="5"/>
      <c r="J253" s="5"/>
      <c r="K253" s="2"/>
      <c r="L253" s="2"/>
      <c r="M253" s="2"/>
      <c r="N253" s="6"/>
      <c r="O253" s="6"/>
      <c r="P253" s="6"/>
      <c r="Q253" s="6"/>
      <c r="R253" s="4"/>
      <c r="S253" s="4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4"/>
      <c r="G254" s="4"/>
      <c r="H254" s="5"/>
      <c r="I254" s="5"/>
      <c r="J254" s="5"/>
      <c r="K254" s="2"/>
      <c r="L254" s="2"/>
      <c r="M254" s="2"/>
      <c r="N254" s="6"/>
      <c r="O254" s="6"/>
      <c r="P254" s="6"/>
      <c r="Q254" s="6"/>
      <c r="R254" s="4"/>
      <c r="S254" s="4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4"/>
      <c r="G255" s="4"/>
      <c r="H255" s="5"/>
      <c r="I255" s="5"/>
      <c r="J255" s="5"/>
      <c r="K255" s="2"/>
      <c r="L255" s="2"/>
      <c r="M255" s="2"/>
      <c r="N255" s="6"/>
      <c r="O255" s="6"/>
      <c r="P255" s="6"/>
      <c r="Q255" s="6"/>
      <c r="R255" s="4"/>
      <c r="S255" s="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4"/>
      <c r="G256" s="4"/>
      <c r="H256" s="5"/>
      <c r="I256" s="5"/>
      <c r="J256" s="5"/>
      <c r="K256" s="2"/>
      <c r="L256" s="2"/>
      <c r="M256" s="2"/>
      <c r="N256" s="6"/>
      <c r="O256" s="6"/>
      <c r="P256" s="6"/>
      <c r="Q256" s="6"/>
      <c r="R256" s="4"/>
      <c r="S256" s="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4"/>
      <c r="G257" s="4"/>
      <c r="H257" s="5"/>
      <c r="I257" s="5"/>
      <c r="J257" s="5"/>
      <c r="K257" s="2"/>
      <c r="L257" s="2"/>
      <c r="M257" s="2"/>
      <c r="N257" s="6"/>
      <c r="O257" s="6"/>
      <c r="P257" s="6"/>
      <c r="Q257" s="6"/>
      <c r="R257" s="4"/>
      <c r="S257" s="4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4"/>
      <c r="G258" s="4"/>
      <c r="H258" s="5"/>
      <c r="I258" s="5"/>
      <c r="J258" s="5"/>
      <c r="K258" s="2"/>
      <c r="L258" s="2"/>
      <c r="M258" s="2"/>
      <c r="N258" s="6"/>
      <c r="O258" s="6"/>
      <c r="P258" s="6"/>
      <c r="Q258" s="6"/>
      <c r="R258" s="4"/>
      <c r="S258" s="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4"/>
      <c r="G259" s="4"/>
      <c r="H259" s="5"/>
      <c r="I259" s="5"/>
      <c r="J259" s="5"/>
      <c r="K259" s="2"/>
      <c r="L259" s="2"/>
      <c r="M259" s="2"/>
      <c r="N259" s="6"/>
      <c r="O259" s="6"/>
      <c r="P259" s="6"/>
      <c r="Q259" s="6"/>
      <c r="R259" s="4"/>
      <c r="S259" s="4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4"/>
      <c r="G260" s="4"/>
      <c r="H260" s="5"/>
      <c r="I260" s="5"/>
      <c r="J260" s="5"/>
      <c r="K260" s="2"/>
      <c r="L260" s="2"/>
      <c r="M260" s="2"/>
      <c r="N260" s="6"/>
      <c r="O260" s="6"/>
      <c r="P260" s="6"/>
      <c r="Q260" s="6"/>
      <c r="R260" s="4"/>
      <c r="S260" s="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4"/>
      <c r="G261" s="4"/>
      <c r="H261" s="5"/>
      <c r="I261" s="5"/>
      <c r="J261" s="5"/>
      <c r="K261" s="2"/>
      <c r="L261" s="2"/>
      <c r="M261" s="2"/>
      <c r="N261" s="6"/>
      <c r="O261" s="6"/>
      <c r="P261" s="6"/>
      <c r="Q261" s="6"/>
      <c r="R261" s="4"/>
      <c r="S261" s="4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4"/>
      <c r="G262" s="4"/>
      <c r="H262" s="5"/>
      <c r="I262" s="5"/>
      <c r="J262" s="5"/>
      <c r="K262" s="2"/>
      <c r="L262" s="2"/>
      <c r="M262" s="2"/>
      <c r="N262" s="6"/>
      <c r="O262" s="6"/>
      <c r="P262" s="6"/>
      <c r="Q262" s="6"/>
      <c r="R262" s="4"/>
      <c r="S262" s="4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4"/>
      <c r="G263" s="4"/>
      <c r="H263" s="5"/>
      <c r="I263" s="5"/>
      <c r="J263" s="5"/>
      <c r="K263" s="2"/>
      <c r="L263" s="2"/>
      <c r="M263" s="2"/>
      <c r="N263" s="6"/>
      <c r="O263" s="6"/>
      <c r="P263" s="6"/>
      <c r="Q263" s="6"/>
      <c r="R263" s="4"/>
      <c r="S263" s="4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4"/>
      <c r="G264" s="4"/>
      <c r="H264" s="5"/>
      <c r="I264" s="5"/>
      <c r="J264" s="5"/>
      <c r="K264" s="2"/>
      <c r="L264" s="2"/>
      <c r="M264" s="2"/>
      <c r="N264" s="6"/>
      <c r="O264" s="6"/>
      <c r="P264" s="6"/>
      <c r="Q264" s="6"/>
      <c r="R264" s="4"/>
      <c r="S264" s="4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4"/>
      <c r="G265" s="4"/>
      <c r="H265" s="5"/>
      <c r="I265" s="5"/>
      <c r="J265" s="5"/>
      <c r="K265" s="2"/>
      <c r="L265" s="2"/>
      <c r="M265" s="2"/>
      <c r="N265" s="6"/>
      <c r="O265" s="6"/>
      <c r="P265" s="6"/>
      <c r="Q265" s="6"/>
      <c r="R265" s="4"/>
      <c r="S265" s="4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4"/>
      <c r="G266" s="4"/>
      <c r="H266" s="5"/>
      <c r="I266" s="5"/>
      <c r="J266" s="5"/>
      <c r="K266" s="2"/>
      <c r="L266" s="2"/>
      <c r="M266" s="2"/>
      <c r="N266" s="6"/>
      <c r="O266" s="6"/>
      <c r="P266" s="6"/>
      <c r="Q266" s="6"/>
      <c r="R266" s="4"/>
      <c r="S266" s="4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4"/>
      <c r="G267" s="4"/>
      <c r="H267" s="5"/>
      <c r="I267" s="5"/>
      <c r="J267" s="5"/>
      <c r="K267" s="2"/>
      <c r="L267" s="2"/>
      <c r="M267" s="2"/>
      <c r="N267" s="6"/>
      <c r="O267" s="6"/>
      <c r="P267" s="6"/>
      <c r="Q267" s="6"/>
      <c r="R267" s="4"/>
      <c r="S267" s="4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4"/>
      <c r="G268" s="4"/>
      <c r="H268" s="5"/>
      <c r="I268" s="5"/>
      <c r="J268" s="5"/>
      <c r="K268" s="2"/>
      <c r="L268" s="2"/>
      <c r="M268" s="2"/>
      <c r="N268" s="6"/>
      <c r="O268" s="6"/>
      <c r="P268" s="6"/>
      <c r="Q268" s="6"/>
      <c r="R268" s="4"/>
      <c r="S268" s="4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4"/>
      <c r="G269" s="4"/>
      <c r="H269" s="5"/>
      <c r="I269" s="5"/>
      <c r="J269" s="5"/>
      <c r="K269" s="2"/>
      <c r="L269" s="2"/>
      <c r="M269" s="2"/>
      <c r="N269" s="6"/>
      <c r="O269" s="6"/>
      <c r="P269" s="6"/>
      <c r="Q269" s="6"/>
      <c r="R269" s="4"/>
      <c r="S269" s="4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4"/>
      <c r="G270" s="4"/>
      <c r="H270" s="5"/>
      <c r="I270" s="5"/>
      <c r="J270" s="5"/>
      <c r="K270" s="2"/>
      <c r="L270" s="2"/>
      <c r="M270" s="2"/>
      <c r="N270" s="6"/>
      <c r="O270" s="6"/>
      <c r="P270" s="6"/>
      <c r="Q270" s="6"/>
      <c r="R270" s="4"/>
      <c r="S270" s="4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4"/>
      <c r="G271" s="4"/>
      <c r="H271" s="5"/>
      <c r="I271" s="5"/>
      <c r="J271" s="5"/>
      <c r="K271" s="2"/>
      <c r="L271" s="2"/>
      <c r="M271" s="2"/>
      <c r="N271" s="6"/>
      <c r="O271" s="6"/>
      <c r="P271" s="6"/>
      <c r="Q271" s="6"/>
      <c r="R271" s="4"/>
      <c r="S271" s="4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4"/>
      <c r="G272" s="4"/>
      <c r="H272" s="5"/>
      <c r="I272" s="5"/>
      <c r="J272" s="5"/>
      <c r="K272" s="2"/>
      <c r="L272" s="2"/>
      <c r="M272" s="2"/>
      <c r="N272" s="6"/>
      <c r="O272" s="6"/>
      <c r="P272" s="6"/>
      <c r="Q272" s="6"/>
      <c r="R272" s="4"/>
      <c r="S272" s="4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4"/>
      <c r="G273" s="4"/>
      <c r="H273" s="5"/>
      <c r="I273" s="5"/>
      <c r="J273" s="5"/>
      <c r="K273" s="2"/>
      <c r="L273" s="2"/>
      <c r="M273" s="2"/>
      <c r="N273" s="6"/>
      <c r="O273" s="6"/>
      <c r="P273" s="6"/>
      <c r="Q273" s="6"/>
      <c r="R273" s="4"/>
      <c r="S273" s="4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4"/>
      <c r="G274" s="4"/>
      <c r="H274" s="5"/>
      <c r="I274" s="5"/>
      <c r="J274" s="5"/>
      <c r="K274" s="2"/>
      <c r="L274" s="2"/>
      <c r="M274" s="2"/>
      <c r="N274" s="6"/>
      <c r="O274" s="6"/>
      <c r="P274" s="6"/>
      <c r="Q274" s="6"/>
      <c r="R274" s="4"/>
      <c r="S274" s="4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4"/>
      <c r="G275" s="4"/>
      <c r="H275" s="5"/>
      <c r="I275" s="5"/>
      <c r="J275" s="5"/>
      <c r="K275" s="2"/>
      <c r="L275" s="2"/>
      <c r="M275" s="2"/>
      <c r="N275" s="6"/>
      <c r="O275" s="6"/>
      <c r="P275" s="6"/>
      <c r="Q275" s="6"/>
      <c r="R275" s="4"/>
      <c r="S275" s="4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4"/>
      <c r="G276" s="4"/>
      <c r="H276" s="5"/>
      <c r="I276" s="5"/>
      <c r="J276" s="5"/>
      <c r="K276" s="2"/>
      <c r="L276" s="2"/>
      <c r="M276" s="2"/>
      <c r="N276" s="6"/>
      <c r="O276" s="6"/>
      <c r="P276" s="6"/>
      <c r="Q276" s="6"/>
      <c r="R276" s="4"/>
      <c r="S276" s="4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4"/>
      <c r="G277" s="4"/>
      <c r="H277" s="5"/>
      <c r="I277" s="5"/>
      <c r="J277" s="5"/>
      <c r="K277" s="2"/>
      <c r="L277" s="2"/>
      <c r="M277" s="2"/>
      <c r="N277" s="6"/>
      <c r="O277" s="6"/>
      <c r="P277" s="6"/>
      <c r="Q277" s="6"/>
      <c r="R277" s="4"/>
      <c r="S277" s="4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4"/>
      <c r="G278" s="4"/>
      <c r="H278" s="5"/>
      <c r="I278" s="5"/>
      <c r="J278" s="5"/>
      <c r="K278" s="2"/>
      <c r="L278" s="2"/>
      <c r="M278" s="2"/>
      <c r="N278" s="6"/>
      <c r="O278" s="6"/>
      <c r="P278" s="6"/>
      <c r="Q278" s="6"/>
      <c r="R278" s="4"/>
      <c r="S278" s="4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4"/>
      <c r="G279" s="4"/>
      <c r="H279" s="5"/>
      <c r="I279" s="5"/>
      <c r="J279" s="5"/>
      <c r="K279" s="2"/>
      <c r="L279" s="2"/>
      <c r="M279" s="2"/>
      <c r="N279" s="6"/>
      <c r="O279" s="6"/>
      <c r="P279" s="6"/>
      <c r="Q279" s="6"/>
      <c r="R279" s="4"/>
      <c r="S279" s="4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4"/>
      <c r="G280" s="4"/>
      <c r="H280" s="5"/>
      <c r="I280" s="5"/>
      <c r="J280" s="5"/>
      <c r="K280" s="2"/>
      <c r="L280" s="2"/>
      <c r="M280" s="2"/>
      <c r="N280" s="6"/>
      <c r="O280" s="6"/>
      <c r="P280" s="6"/>
      <c r="Q280" s="6"/>
      <c r="R280" s="4"/>
      <c r="S280" s="4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4"/>
      <c r="G281" s="4"/>
      <c r="H281" s="5"/>
      <c r="I281" s="5"/>
      <c r="J281" s="5"/>
      <c r="K281" s="2"/>
      <c r="L281" s="2"/>
      <c r="M281" s="2"/>
      <c r="N281" s="6"/>
      <c r="O281" s="6"/>
      <c r="P281" s="6"/>
      <c r="Q281" s="6"/>
      <c r="R281" s="4"/>
      <c r="S281" s="4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4"/>
      <c r="G282" s="4"/>
      <c r="H282" s="5"/>
      <c r="I282" s="5"/>
      <c r="J282" s="5"/>
      <c r="K282" s="2"/>
      <c r="L282" s="2"/>
      <c r="M282" s="2"/>
      <c r="N282" s="6"/>
      <c r="O282" s="6"/>
      <c r="P282" s="6"/>
      <c r="Q282" s="6"/>
      <c r="R282" s="4"/>
      <c r="S282" s="4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4"/>
      <c r="G283" s="4"/>
      <c r="H283" s="5"/>
      <c r="I283" s="5"/>
      <c r="J283" s="5"/>
      <c r="K283" s="2"/>
      <c r="L283" s="2"/>
      <c r="M283" s="2"/>
      <c r="N283" s="6"/>
      <c r="O283" s="6"/>
      <c r="P283" s="6"/>
      <c r="Q283" s="6"/>
      <c r="R283" s="4"/>
      <c r="S283" s="4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4"/>
      <c r="G284" s="4"/>
      <c r="H284" s="5"/>
      <c r="I284" s="5"/>
      <c r="J284" s="5"/>
      <c r="K284" s="2"/>
      <c r="L284" s="2"/>
      <c r="M284" s="2"/>
      <c r="N284" s="6"/>
      <c r="O284" s="6"/>
      <c r="P284" s="6"/>
      <c r="Q284" s="6"/>
      <c r="R284" s="4"/>
      <c r="S284" s="4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4"/>
      <c r="G285" s="4"/>
      <c r="H285" s="5"/>
      <c r="I285" s="5"/>
      <c r="J285" s="5"/>
      <c r="K285" s="2"/>
      <c r="L285" s="2"/>
      <c r="M285" s="2"/>
      <c r="N285" s="6"/>
      <c r="O285" s="6"/>
      <c r="P285" s="6"/>
      <c r="Q285" s="6"/>
      <c r="R285" s="4"/>
      <c r="S285" s="4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4"/>
      <c r="G286" s="4"/>
      <c r="H286" s="5"/>
      <c r="I286" s="5"/>
      <c r="J286" s="5"/>
      <c r="K286" s="2"/>
      <c r="L286" s="2"/>
      <c r="M286" s="2"/>
      <c r="N286" s="6"/>
      <c r="O286" s="6"/>
      <c r="P286" s="6"/>
      <c r="Q286" s="6"/>
      <c r="R286" s="4"/>
      <c r="S286" s="4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4"/>
      <c r="G287" s="4"/>
      <c r="H287" s="5"/>
      <c r="I287" s="5"/>
      <c r="J287" s="5"/>
      <c r="K287" s="2"/>
      <c r="L287" s="2"/>
      <c r="M287" s="2"/>
      <c r="N287" s="6"/>
      <c r="O287" s="6"/>
      <c r="P287" s="6"/>
      <c r="Q287" s="6"/>
      <c r="R287" s="4"/>
      <c r="S287" s="4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4"/>
      <c r="G288" s="4"/>
      <c r="H288" s="5"/>
      <c r="I288" s="5"/>
      <c r="J288" s="5"/>
      <c r="K288" s="2"/>
      <c r="L288" s="2"/>
      <c r="M288" s="2"/>
      <c r="N288" s="6"/>
      <c r="O288" s="6"/>
      <c r="P288" s="6"/>
      <c r="Q288" s="6"/>
      <c r="R288" s="4"/>
      <c r="S288" s="4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4"/>
      <c r="G289" s="4"/>
      <c r="H289" s="5"/>
      <c r="I289" s="5"/>
      <c r="J289" s="5"/>
      <c r="K289" s="2"/>
      <c r="L289" s="2"/>
      <c r="M289" s="2"/>
      <c r="N289" s="6"/>
      <c r="O289" s="6"/>
      <c r="P289" s="6"/>
      <c r="Q289" s="6"/>
      <c r="R289" s="4"/>
      <c r="S289" s="4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4"/>
      <c r="G290" s="4"/>
      <c r="H290" s="5"/>
      <c r="I290" s="5"/>
      <c r="J290" s="5"/>
      <c r="K290" s="2"/>
      <c r="L290" s="2"/>
      <c r="M290" s="2"/>
      <c r="N290" s="6"/>
      <c r="O290" s="6"/>
      <c r="P290" s="6"/>
      <c r="Q290" s="6"/>
      <c r="R290" s="4"/>
      <c r="S290" s="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4"/>
      <c r="G291" s="4"/>
      <c r="H291" s="5"/>
      <c r="I291" s="5"/>
      <c r="J291" s="5"/>
      <c r="K291" s="2"/>
      <c r="L291" s="2"/>
      <c r="M291" s="2"/>
      <c r="N291" s="6"/>
      <c r="O291" s="6"/>
      <c r="P291" s="6"/>
      <c r="Q291" s="6"/>
      <c r="R291" s="4"/>
      <c r="S291" s="4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4"/>
      <c r="G292" s="4"/>
      <c r="H292" s="5"/>
      <c r="I292" s="5"/>
      <c r="J292" s="5"/>
      <c r="K292" s="2"/>
      <c r="L292" s="2"/>
      <c r="M292" s="2"/>
      <c r="N292" s="6"/>
      <c r="O292" s="6"/>
      <c r="P292" s="6"/>
      <c r="Q292" s="6"/>
      <c r="R292" s="4"/>
      <c r="S292" s="4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4"/>
      <c r="G293" s="4"/>
      <c r="H293" s="5"/>
      <c r="I293" s="5"/>
      <c r="J293" s="5"/>
      <c r="K293" s="2"/>
      <c r="L293" s="2"/>
      <c r="M293" s="2"/>
      <c r="N293" s="6"/>
      <c r="O293" s="6"/>
      <c r="P293" s="6"/>
      <c r="Q293" s="6"/>
      <c r="R293" s="4"/>
      <c r="S293" s="4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4"/>
      <c r="G294" s="4"/>
      <c r="H294" s="5"/>
      <c r="I294" s="5"/>
      <c r="J294" s="5"/>
      <c r="K294" s="2"/>
      <c r="L294" s="2"/>
      <c r="M294" s="2"/>
      <c r="N294" s="6"/>
      <c r="O294" s="6"/>
      <c r="P294" s="6"/>
      <c r="Q294" s="6"/>
      <c r="R294" s="4"/>
      <c r="S294" s="4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4"/>
      <c r="G295" s="4"/>
      <c r="H295" s="5"/>
      <c r="I295" s="5"/>
      <c r="J295" s="5"/>
      <c r="K295" s="2"/>
      <c r="L295" s="2"/>
      <c r="M295" s="2"/>
      <c r="N295" s="6"/>
      <c r="O295" s="6"/>
      <c r="P295" s="6"/>
      <c r="Q295" s="6"/>
      <c r="R295" s="4"/>
      <c r="S295" s="4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4"/>
      <c r="G296" s="4"/>
      <c r="H296" s="5"/>
      <c r="I296" s="5"/>
      <c r="J296" s="5"/>
      <c r="K296" s="2"/>
      <c r="L296" s="2"/>
      <c r="M296" s="2"/>
      <c r="N296" s="6"/>
      <c r="O296" s="6"/>
      <c r="P296" s="6"/>
      <c r="Q296" s="6"/>
      <c r="R296" s="4"/>
      <c r="S296" s="4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4"/>
      <c r="G297" s="4"/>
      <c r="H297" s="5"/>
      <c r="I297" s="5"/>
      <c r="J297" s="5"/>
      <c r="K297" s="2"/>
      <c r="L297" s="2"/>
      <c r="M297" s="2"/>
      <c r="N297" s="6"/>
      <c r="O297" s="6"/>
      <c r="P297" s="6"/>
      <c r="Q297" s="6"/>
      <c r="R297" s="4"/>
      <c r="S297" s="4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4"/>
      <c r="G298" s="4"/>
      <c r="H298" s="5"/>
      <c r="I298" s="5"/>
      <c r="J298" s="5"/>
      <c r="K298" s="2"/>
      <c r="L298" s="2"/>
      <c r="M298" s="2"/>
      <c r="N298" s="6"/>
      <c r="O298" s="6"/>
      <c r="P298" s="6"/>
      <c r="Q298" s="6"/>
      <c r="R298" s="4"/>
      <c r="S298" s="4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4"/>
      <c r="G299" s="4"/>
      <c r="H299" s="5"/>
      <c r="I299" s="5"/>
      <c r="J299" s="5"/>
      <c r="K299" s="2"/>
      <c r="L299" s="2"/>
      <c r="M299" s="2"/>
      <c r="N299" s="6"/>
      <c r="O299" s="6"/>
      <c r="P299" s="6"/>
      <c r="Q299" s="6"/>
      <c r="R299" s="4"/>
      <c r="S299" s="4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4"/>
      <c r="G300" s="4"/>
      <c r="H300" s="5"/>
      <c r="I300" s="5"/>
      <c r="J300" s="5"/>
      <c r="K300" s="2"/>
      <c r="L300" s="2"/>
      <c r="M300" s="2"/>
      <c r="N300" s="6"/>
      <c r="O300" s="6"/>
      <c r="P300" s="6"/>
      <c r="Q300" s="6"/>
      <c r="R300" s="4"/>
      <c r="S300" s="4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4"/>
      <c r="G301" s="4"/>
      <c r="H301" s="5"/>
      <c r="I301" s="5"/>
      <c r="J301" s="5"/>
      <c r="K301" s="2"/>
      <c r="L301" s="2"/>
      <c r="M301" s="2"/>
      <c r="N301" s="6"/>
      <c r="O301" s="6"/>
      <c r="P301" s="6"/>
      <c r="Q301" s="6"/>
      <c r="R301" s="4"/>
      <c r="S301" s="4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4"/>
      <c r="G302" s="4"/>
      <c r="H302" s="5"/>
      <c r="I302" s="5"/>
      <c r="J302" s="5"/>
      <c r="K302" s="2"/>
      <c r="L302" s="2"/>
      <c r="M302" s="2"/>
      <c r="N302" s="6"/>
      <c r="O302" s="6"/>
      <c r="P302" s="6"/>
      <c r="Q302" s="6"/>
      <c r="R302" s="4"/>
      <c r="S302" s="4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4"/>
      <c r="G303" s="4"/>
      <c r="H303" s="5"/>
      <c r="I303" s="5"/>
      <c r="J303" s="5"/>
      <c r="K303" s="2"/>
      <c r="L303" s="2"/>
      <c r="M303" s="2"/>
      <c r="N303" s="6"/>
      <c r="O303" s="6"/>
      <c r="P303" s="6"/>
      <c r="Q303" s="6"/>
      <c r="R303" s="4"/>
      <c r="S303" s="4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4"/>
      <c r="G304" s="4"/>
      <c r="H304" s="5"/>
      <c r="I304" s="5"/>
      <c r="J304" s="5"/>
      <c r="K304" s="2"/>
      <c r="L304" s="2"/>
      <c r="M304" s="2"/>
      <c r="N304" s="6"/>
      <c r="O304" s="6"/>
      <c r="P304" s="6"/>
      <c r="Q304" s="6"/>
      <c r="R304" s="4"/>
      <c r="S304" s="4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4"/>
      <c r="G305" s="4"/>
      <c r="H305" s="5"/>
      <c r="I305" s="5"/>
      <c r="J305" s="5"/>
      <c r="K305" s="2"/>
      <c r="L305" s="2"/>
      <c r="M305" s="2"/>
      <c r="N305" s="6"/>
      <c r="O305" s="6"/>
      <c r="P305" s="6"/>
      <c r="Q305" s="6"/>
      <c r="R305" s="4"/>
      <c r="S305" s="4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4"/>
      <c r="G306" s="4"/>
      <c r="H306" s="5"/>
      <c r="I306" s="5"/>
      <c r="J306" s="5"/>
      <c r="K306" s="2"/>
      <c r="L306" s="2"/>
      <c r="M306" s="2"/>
      <c r="N306" s="6"/>
      <c r="O306" s="6"/>
      <c r="P306" s="6"/>
      <c r="Q306" s="6"/>
      <c r="R306" s="4"/>
      <c r="S306" s="4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4"/>
      <c r="G307" s="4"/>
      <c r="H307" s="5"/>
      <c r="I307" s="5"/>
      <c r="J307" s="5"/>
      <c r="K307" s="2"/>
      <c r="L307" s="2"/>
      <c r="M307" s="2"/>
      <c r="N307" s="6"/>
      <c r="O307" s="6"/>
      <c r="P307" s="6"/>
      <c r="Q307" s="6"/>
      <c r="R307" s="4"/>
      <c r="S307" s="4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4"/>
      <c r="G308" s="4"/>
      <c r="H308" s="5"/>
      <c r="I308" s="5"/>
      <c r="J308" s="5"/>
      <c r="K308" s="2"/>
      <c r="L308" s="2"/>
      <c r="M308" s="2"/>
      <c r="N308" s="6"/>
      <c r="O308" s="6"/>
      <c r="P308" s="6"/>
      <c r="Q308" s="6"/>
      <c r="R308" s="4"/>
      <c r="S308" s="4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4"/>
      <c r="G309" s="4"/>
      <c r="H309" s="5"/>
      <c r="I309" s="5"/>
      <c r="J309" s="5"/>
      <c r="K309" s="2"/>
      <c r="L309" s="2"/>
      <c r="M309" s="2"/>
      <c r="N309" s="6"/>
      <c r="O309" s="6"/>
      <c r="P309" s="6"/>
      <c r="Q309" s="6"/>
      <c r="R309" s="4"/>
      <c r="S309" s="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4"/>
      <c r="G310" s="4"/>
      <c r="H310" s="5"/>
      <c r="I310" s="5"/>
      <c r="J310" s="5"/>
      <c r="K310" s="2"/>
      <c r="L310" s="2"/>
      <c r="M310" s="2"/>
      <c r="N310" s="6"/>
      <c r="O310" s="6"/>
      <c r="P310" s="6"/>
      <c r="Q310" s="6"/>
      <c r="R310" s="4"/>
      <c r="S310" s="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4"/>
      <c r="G311" s="4"/>
      <c r="H311" s="5"/>
      <c r="I311" s="5"/>
      <c r="J311" s="5"/>
      <c r="K311" s="2"/>
      <c r="L311" s="2"/>
      <c r="M311" s="2"/>
      <c r="N311" s="6"/>
      <c r="O311" s="6"/>
      <c r="P311" s="6"/>
      <c r="Q311" s="6"/>
      <c r="R311" s="4"/>
      <c r="S311" s="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4"/>
      <c r="G312" s="4"/>
      <c r="H312" s="5"/>
      <c r="I312" s="5"/>
      <c r="J312" s="5"/>
      <c r="K312" s="2"/>
      <c r="L312" s="2"/>
      <c r="M312" s="2"/>
      <c r="N312" s="6"/>
      <c r="O312" s="6"/>
      <c r="P312" s="6"/>
      <c r="Q312" s="6"/>
      <c r="R312" s="4"/>
      <c r="S312" s="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4"/>
      <c r="G313" s="4"/>
      <c r="H313" s="5"/>
      <c r="I313" s="5"/>
      <c r="J313" s="5"/>
      <c r="K313" s="2"/>
      <c r="L313" s="2"/>
      <c r="M313" s="2"/>
      <c r="N313" s="6"/>
      <c r="O313" s="6"/>
      <c r="P313" s="6"/>
      <c r="Q313" s="6"/>
      <c r="R313" s="4"/>
      <c r="S313" s="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4"/>
      <c r="G314" s="4"/>
      <c r="H314" s="5"/>
      <c r="I314" s="5"/>
      <c r="J314" s="5"/>
      <c r="K314" s="2"/>
      <c r="L314" s="2"/>
      <c r="M314" s="2"/>
      <c r="N314" s="6"/>
      <c r="O314" s="6"/>
      <c r="P314" s="6"/>
      <c r="Q314" s="6"/>
      <c r="R314" s="4"/>
      <c r="S314" s="4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4"/>
      <c r="G315" s="4"/>
      <c r="H315" s="5"/>
      <c r="I315" s="5"/>
      <c r="J315" s="5"/>
      <c r="K315" s="2"/>
      <c r="L315" s="2"/>
      <c r="M315" s="2"/>
      <c r="N315" s="6"/>
      <c r="O315" s="6"/>
      <c r="P315" s="6"/>
      <c r="Q315" s="6"/>
      <c r="R315" s="4"/>
      <c r="S315" s="4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4"/>
      <c r="G316" s="4"/>
      <c r="H316" s="5"/>
      <c r="I316" s="5"/>
      <c r="J316" s="5"/>
      <c r="K316" s="2"/>
      <c r="L316" s="2"/>
      <c r="M316" s="2"/>
      <c r="N316" s="6"/>
      <c r="O316" s="6"/>
      <c r="P316" s="6"/>
      <c r="Q316" s="6"/>
      <c r="R316" s="4"/>
      <c r="S316" s="4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4"/>
      <c r="G317" s="4"/>
      <c r="H317" s="5"/>
      <c r="I317" s="5"/>
      <c r="J317" s="5"/>
      <c r="K317" s="2"/>
      <c r="L317" s="2"/>
      <c r="M317" s="2"/>
      <c r="N317" s="6"/>
      <c r="O317" s="6"/>
      <c r="P317" s="6"/>
      <c r="Q317" s="6"/>
      <c r="R317" s="4"/>
      <c r="S317" s="4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4"/>
      <c r="G318" s="4"/>
      <c r="H318" s="5"/>
      <c r="I318" s="5"/>
      <c r="J318" s="5"/>
      <c r="K318" s="2"/>
      <c r="L318" s="2"/>
      <c r="M318" s="2"/>
      <c r="N318" s="6"/>
      <c r="O318" s="6"/>
      <c r="P318" s="6"/>
      <c r="Q318" s="6"/>
      <c r="R318" s="4"/>
      <c r="S318" s="4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4"/>
      <c r="G319" s="4"/>
      <c r="H319" s="5"/>
      <c r="I319" s="5"/>
      <c r="J319" s="5"/>
      <c r="K319" s="2"/>
      <c r="L319" s="2"/>
      <c r="M319" s="2"/>
      <c r="N319" s="6"/>
      <c r="O319" s="6"/>
      <c r="P319" s="6"/>
      <c r="Q319" s="6"/>
      <c r="R319" s="4"/>
      <c r="S319" s="4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4"/>
      <c r="G320" s="4"/>
      <c r="H320" s="5"/>
      <c r="I320" s="5"/>
      <c r="J320" s="5"/>
      <c r="K320" s="2"/>
      <c r="L320" s="2"/>
      <c r="M320" s="2"/>
      <c r="N320" s="6"/>
      <c r="O320" s="6"/>
      <c r="P320" s="6"/>
      <c r="Q320" s="6"/>
      <c r="R320" s="4"/>
      <c r="S320" s="4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4"/>
      <c r="G321" s="4"/>
      <c r="H321" s="5"/>
      <c r="I321" s="5"/>
      <c r="J321" s="5"/>
      <c r="K321" s="2"/>
      <c r="L321" s="2"/>
      <c r="M321" s="2"/>
      <c r="N321" s="6"/>
      <c r="O321" s="6"/>
      <c r="P321" s="6"/>
      <c r="Q321" s="6"/>
      <c r="R321" s="4"/>
      <c r="S321" s="4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4"/>
      <c r="G322" s="4"/>
      <c r="H322" s="5"/>
      <c r="I322" s="5"/>
      <c r="J322" s="5"/>
      <c r="K322" s="2"/>
      <c r="L322" s="2"/>
      <c r="M322" s="2"/>
      <c r="N322" s="6"/>
      <c r="O322" s="6"/>
      <c r="P322" s="6"/>
      <c r="Q322" s="6"/>
      <c r="R322" s="4"/>
      <c r="S322" s="4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4"/>
      <c r="G323" s="4"/>
      <c r="H323" s="5"/>
      <c r="I323" s="5"/>
      <c r="J323" s="5"/>
      <c r="K323" s="2"/>
      <c r="L323" s="2"/>
      <c r="M323" s="2"/>
      <c r="N323" s="6"/>
      <c r="O323" s="6"/>
      <c r="P323" s="6"/>
      <c r="Q323" s="6"/>
      <c r="R323" s="4"/>
      <c r="S323" s="4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4"/>
      <c r="G324" s="4"/>
      <c r="H324" s="5"/>
      <c r="I324" s="5"/>
      <c r="J324" s="5"/>
      <c r="K324" s="2"/>
      <c r="L324" s="2"/>
      <c r="M324" s="2"/>
      <c r="N324" s="6"/>
      <c r="O324" s="6"/>
      <c r="P324" s="6"/>
      <c r="Q324" s="6"/>
      <c r="R324" s="4"/>
      <c r="S324" s="4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4"/>
      <c r="G325" s="4"/>
      <c r="H325" s="5"/>
      <c r="I325" s="5"/>
      <c r="J325" s="5"/>
      <c r="K325" s="2"/>
      <c r="L325" s="2"/>
      <c r="M325" s="2"/>
      <c r="N325" s="6"/>
      <c r="O325" s="6"/>
      <c r="P325" s="6"/>
      <c r="Q325" s="6"/>
      <c r="R325" s="4"/>
      <c r="S325" s="4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4"/>
      <c r="G326" s="4"/>
      <c r="H326" s="5"/>
      <c r="I326" s="5"/>
      <c r="J326" s="5"/>
      <c r="K326" s="2"/>
      <c r="L326" s="2"/>
      <c r="M326" s="2"/>
      <c r="N326" s="6"/>
      <c r="O326" s="6"/>
      <c r="P326" s="6"/>
      <c r="Q326" s="6"/>
      <c r="R326" s="4"/>
      <c r="S326" s="4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4"/>
      <c r="G327" s="4"/>
      <c r="H327" s="5"/>
      <c r="I327" s="5"/>
      <c r="J327" s="5"/>
      <c r="K327" s="2"/>
      <c r="L327" s="2"/>
      <c r="M327" s="2"/>
      <c r="N327" s="6"/>
      <c r="O327" s="6"/>
      <c r="P327" s="6"/>
      <c r="Q327" s="6"/>
      <c r="R327" s="4"/>
      <c r="S327" s="4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4"/>
      <c r="G328" s="4"/>
      <c r="H328" s="5"/>
      <c r="I328" s="5"/>
      <c r="J328" s="5"/>
      <c r="K328" s="2"/>
      <c r="L328" s="2"/>
      <c r="M328" s="2"/>
      <c r="N328" s="6"/>
      <c r="O328" s="6"/>
      <c r="P328" s="6"/>
      <c r="Q328" s="6"/>
      <c r="R328" s="4"/>
      <c r="S328" s="4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4"/>
      <c r="G329" s="4"/>
      <c r="H329" s="5"/>
      <c r="I329" s="5"/>
      <c r="J329" s="5"/>
      <c r="K329" s="2"/>
      <c r="L329" s="2"/>
      <c r="M329" s="2"/>
      <c r="N329" s="6"/>
      <c r="O329" s="6"/>
      <c r="P329" s="6"/>
      <c r="Q329" s="6"/>
      <c r="R329" s="4"/>
      <c r="S329" s="4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4"/>
      <c r="G330" s="4"/>
      <c r="H330" s="5"/>
      <c r="I330" s="5"/>
      <c r="J330" s="5"/>
      <c r="K330" s="2"/>
      <c r="L330" s="2"/>
      <c r="M330" s="2"/>
      <c r="N330" s="6"/>
      <c r="O330" s="6"/>
      <c r="P330" s="6"/>
      <c r="Q330" s="6"/>
      <c r="R330" s="4"/>
      <c r="S330" s="4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4"/>
      <c r="G331" s="4"/>
      <c r="H331" s="5"/>
      <c r="I331" s="5"/>
      <c r="J331" s="5"/>
      <c r="K331" s="2"/>
      <c r="L331" s="2"/>
      <c r="M331" s="2"/>
      <c r="N331" s="6"/>
      <c r="O331" s="6"/>
      <c r="P331" s="6"/>
      <c r="Q331" s="6"/>
      <c r="R331" s="4"/>
      <c r="S331" s="4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4"/>
      <c r="G332" s="4"/>
      <c r="H332" s="5"/>
      <c r="I332" s="5"/>
      <c r="J332" s="5"/>
      <c r="K332" s="2"/>
      <c r="L332" s="2"/>
      <c r="M332" s="2"/>
      <c r="N332" s="6"/>
      <c r="O332" s="6"/>
      <c r="P332" s="6"/>
      <c r="Q332" s="6"/>
      <c r="R332" s="4"/>
      <c r="S332" s="4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4"/>
      <c r="G333" s="4"/>
      <c r="H333" s="5"/>
      <c r="I333" s="5"/>
      <c r="J333" s="5"/>
      <c r="K333" s="2"/>
      <c r="L333" s="2"/>
      <c r="M333" s="2"/>
      <c r="N333" s="6"/>
      <c r="O333" s="6"/>
      <c r="P333" s="6"/>
      <c r="Q333" s="6"/>
      <c r="R333" s="4"/>
      <c r="S333" s="4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4"/>
      <c r="G334" s="4"/>
      <c r="H334" s="5"/>
      <c r="I334" s="5"/>
      <c r="J334" s="5"/>
      <c r="K334" s="2"/>
      <c r="L334" s="2"/>
      <c r="M334" s="2"/>
      <c r="N334" s="6"/>
      <c r="O334" s="6"/>
      <c r="P334" s="6"/>
      <c r="Q334" s="6"/>
      <c r="R334" s="4"/>
      <c r="S334" s="4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4"/>
      <c r="G335" s="4"/>
      <c r="H335" s="5"/>
      <c r="I335" s="5"/>
      <c r="J335" s="5"/>
      <c r="K335" s="2"/>
      <c r="L335" s="2"/>
      <c r="M335" s="2"/>
      <c r="N335" s="6"/>
      <c r="O335" s="6"/>
      <c r="P335" s="6"/>
      <c r="Q335" s="6"/>
      <c r="R335" s="4"/>
      <c r="S335" s="4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4"/>
      <c r="G336" s="4"/>
      <c r="H336" s="5"/>
      <c r="I336" s="5"/>
      <c r="J336" s="5"/>
      <c r="K336" s="2"/>
      <c r="L336" s="2"/>
      <c r="M336" s="2"/>
      <c r="N336" s="6"/>
      <c r="O336" s="6"/>
      <c r="P336" s="6"/>
      <c r="Q336" s="6"/>
      <c r="R336" s="4"/>
      <c r="S336" s="4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4"/>
      <c r="G337" s="4"/>
      <c r="H337" s="5"/>
      <c r="I337" s="5"/>
      <c r="J337" s="5"/>
      <c r="K337" s="2"/>
      <c r="L337" s="2"/>
      <c r="M337" s="2"/>
      <c r="N337" s="6"/>
      <c r="O337" s="6"/>
      <c r="P337" s="6"/>
      <c r="Q337" s="6"/>
      <c r="R337" s="4"/>
      <c r="S337" s="4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4"/>
      <c r="G338" s="4"/>
      <c r="H338" s="5"/>
      <c r="I338" s="5"/>
      <c r="J338" s="5"/>
      <c r="K338" s="2"/>
      <c r="L338" s="2"/>
      <c r="M338" s="2"/>
      <c r="N338" s="6"/>
      <c r="O338" s="6"/>
      <c r="P338" s="6"/>
      <c r="Q338" s="6"/>
      <c r="R338" s="4"/>
      <c r="S338" s="4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4"/>
      <c r="G339" s="4"/>
      <c r="H339" s="5"/>
      <c r="I339" s="5"/>
      <c r="J339" s="5"/>
      <c r="K339" s="2"/>
      <c r="L339" s="2"/>
      <c r="M339" s="2"/>
      <c r="N339" s="6"/>
      <c r="O339" s="6"/>
      <c r="P339" s="6"/>
      <c r="Q339" s="6"/>
      <c r="R339" s="4"/>
      <c r="S339" s="4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4"/>
      <c r="G340" s="4"/>
      <c r="H340" s="5"/>
      <c r="I340" s="5"/>
      <c r="J340" s="5"/>
      <c r="K340" s="2"/>
      <c r="L340" s="2"/>
      <c r="M340" s="2"/>
      <c r="N340" s="6"/>
      <c r="O340" s="6"/>
      <c r="P340" s="6"/>
      <c r="Q340" s="6"/>
      <c r="R340" s="4"/>
      <c r="S340" s="4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4"/>
      <c r="G341" s="4"/>
      <c r="H341" s="5"/>
      <c r="I341" s="5"/>
      <c r="J341" s="5"/>
      <c r="K341" s="2"/>
      <c r="L341" s="2"/>
      <c r="M341" s="2"/>
      <c r="N341" s="6"/>
      <c r="O341" s="6"/>
      <c r="P341" s="6"/>
      <c r="Q341" s="6"/>
      <c r="R341" s="4"/>
      <c r="S341" s="4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4"/>
      <c r="G342" s="4"/>
      <c r="H342" s="5"/>
      <c r="I342" s="5"/>
      <c r="J342" s="5"/>
      <c r="K342" s="2"/>
      <c r="L342" s="2"/>
      <c r="M342" s="2"/>
      <c r="N342" s="6"/>
      <c r="O342" s="6"/>
      <c r="P342" s="6"/>
      <c r="Q342" s="6"/>
      <c r="R342" s="4"/>
      <c r="S342" s="4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4"/>
      <c r="G343" s="4"/>
      <c r="H343" s="5"/>
      <c r="I343" s="5"/>
      <c r="J343" s="5"/>
      <c r="K343" s="2"/>
      <c r="L343" s="2"/>
      <c r="M343" s="2"/>
      <c r="N343" s="6"/>
      <c r="O343" s="6"/>
      <c r="P343" s="6"/>
      <c r="Q343" s="6"/>
      <c r="R343" s="4"/>
      <c r="S343" s="4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4"/>
      <c r="G344" s="4"/>
      <c r="H344" s="5"/>
      <c r="I344" s="5"/>
      <c r="J344" s="5"/>
      <c r="K344" s="2"/>
      <c r="L344" s="2"/>
      <c r="M344" s="2"/>
      <c r="N344" s="6"/>
      <c r="O344" s="6"/>
      <c r="P344" s="6"/>
      <c r="Q344" s="6"/>
      <c r="R344" s="4"/>
      <c r="S344" s="4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4"/>
      <c r="G345" s="4"/>
      <c r="H345" s="5"/>
      <c r="I345" s="5"/>
      <c r="J345" s="5"/>
      <c r="K345" s="2"/>
      <c r="L345" s="2"/>
      <c r="M345" s="2"/>
      <c r="N345" s="6"/>
      <c r="O345" s="6"/>
      <c r="P345" s="6"/>
      <c r="Q345" s="6"/>
      <c r="R345" s="4"/>
      <c r="S345" s="4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4"/>
      <c r="G346" s="4"/>
      <c r="H346" s="5"/>
      <c r="I346" s="5"/>
      <c r="J346" s="5"/>
      <c r="K346" s="2"/>
      <c r="L346" s="2"/>
      <c r="M346" s="2"/>
      <c r="N346" s="6"/>
      <c r="O346" s="6"/>
      <c r="P346" s="6"/>
      <c r="Q346" s="6"/>
      <c r="R346" s="4"/>
      <c r="S346" s="4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4"/>
      <c r="G347" s="4"/>
      <c r="H347" s="5"/>
      <c r="I347" s="5"/>
      <c r="J347" s="5"/>
      <c r="K347" s="2"/>
      <c r="L347" s="2"/>
      <c r="M347" s="2"/>
      <c r="N347" s="6"/>
      <c r="O347" s="6"/>
      <c r="P347" s="6"/>
      <c r="Q347" s="6"/>
      <c r="R347" s="4"/>
      <c r="S347" s="4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4"/>
      <c r="G348" s="4"/>
      <c r="H348" s="5"/>
      <c r="I348" s="5"/>
      <c r="J348" s="5"/>
      <c r="K348" s="2"/>
      <c r="L348" s="2"/>
      <c r="M348" s="2"/>
      <c r="N348" s="6"/>
      <c r="O348" s="6"/>
      <c r="P348" s="6"/>
      <c r="Q348" s="6"/>
      <c r="R348" s="4"/>
      <c r="S348" s="4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4"/>
      <c r="G349" s="4"/>
      <c r="H349" s="5"/>
      <c r="I349" s="5"/>
      <c r="J349" s="5"/>
      <c r="K349" s="2"/>
      <c r="L349" s="2"/>
      <c r="M349" s="2"/>
      <c r="N349" s="6"/>
      <c r="O349" s="6"/>
      <c r="P349" s="6"/>
      <c r="Q349" s="6"/>
      <c r="R349" s="4"/>
      <c r="S349" s="4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4"/>
      <c r="G350" s="4"/>
      <c r="H350" s="5"/>
      <c r="I350" s="5"/>
      <c r="J350" s="5"/>
      <c r="K350" s="2"/>
      <c r="L350" s="2"/>
      <c r="M350" s="2"/>
      <c r="N350" s="6"/>
      <c r="O350" s="6"/>
      <c r="P350" s="6"/>
      <c r="Q350" s="6"/>
      <c r="R350" s="4"/>
      <c r="S350" s="4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4"/>
      <c r="G351" s="4"/>
      <c r="H351" s="5"/>
      <c r="I351" s="5"/>
      <c r="J351" s="5"/>
      <c r="K351" s="2"/>
      <c r="L351" s="2"/>
      <c r="M351" s="2"/>
      <c r="N351" s="6"/>
      <c r="O351" s="6"/>
      <c r="P351" s="6"/>
      <c r="Q351" s="6"/>
      <c r="R351" s="4"/>
      <c r="S351" s="4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4"/>
      <c r="G352" s="4"/>
      <c r="H352" s="5"/>
      <c r="I352" s="5"/>
      <c r="J352" s="5"/>
      <c r="K352" s="2"/>
      <c r="L352" s="2"/>
      <c r="M352" s="2"/>
      <c r="N352" s="6"/>
      <c r="O352" s="6"/>
      <c r="P352" s="6"/>
      <c r="Q352" s="6"/>
      <c r="R352" s="4"/>
      <c r="S352" s="4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4"/>
      <c r="G353" s="4"/>
      <c r="H353" s="5"/>
      <c r="I353" s="5"/>
      <c r="J353" s="5"/>
      <c r="K353" s="2"/>
      <c r="L353" s="2"/>
      <c r="M353" s="2"/>
      <c r="N353" s="6"/>
      <c r="O353" s="6"/>
      <c r="P353" s="6"/>
      <c r="Q353" s="6"/>
      <c r="R353" s="4"/>
      <c r="S353" s="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4"/>
      <c r="G354" s="4"/>
      <c r="H354" s="5"/>
      <c r="I354" s="5"/>
      <c r="J354" s="5"/>
      <c r="K354" s="2"/>
      <c r="L354" s="2"/>
      <c r="M354" s="2"/>
      <c r="N354" s="6"/>
      <c r="O354" s="6"/>
      <c r="P354" s="6"/>
      <c r="Q354" s="6"/>
      <c r="R354" s="4"/>
      <c r="S354" s="4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4"/>
      <c r="G355" s="4"/>
      <c r="H355" s="5"/>
      <c r="I355" s="5"/>
      <c r="J355" s="5"/>
      <c r="K355" s="2"/>
      <c r="L355" s="2"/>
      <c r="M355" s="2"/>
      <c r="N355" s="6"/>
      <c r="O355" s="6"/>
      <c r="P355" s="6"/>
      <c r="Q355" s="6"/>
      <c r="R355" s="4"/>
      <c r="S355" s="4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4"/>
      <c r="G356" s="4"/>
      <c r="H356" s="5"/>
      <c r="I356" s="5"/>
      <c r="J356" s="5"/>
      <c r="K356" s="2"/>
      <c r="L356" s="2"/>
      <c r="M356" s="2"/>
      <c r="N356" s="6"/>
      <c r="O356" s="6"/>
      <c r="P356" s="6"/>
      <c r="Q356" s="6"/>
      <c r="R356" s="4"/>
      <c r="S356" s="4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4"/>
      <c r="G357" s="4"/>
      <c r="H357" s="5"/>
      <c r="I357" s="5"/>
      <c r="J357" s="5"/>
      <c r="K357" s="2"/>
      <c r="L357" s="2"/>
      <c r="M357" s="2"/>
      <c r="N357" s="6"/>
      <c r="O357" s="6"/>
      <c r="P357" s="6"/>
      <c r="Q357" s="6"/>
      <c r="R357" s="4"/>
      <c r="S357" s="4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4"/>
      <c r="G358" s="4"/>
      <c r="H358" s="5"/>
      <c r="I358" s="5"/>
      <c r="J358" s="5"/>
      <c r="K358" s="2"/>
      <c r="L358" s="2"/>
      <c r="M358" s="2"/>
      <c r="N358" s="6"/>
      <c r="O358" s="6"/>
      <c r="P358" s="6"/>
      <c r="Q358" s="6"/>
      <c r="R358" s="4"/>
      <c r="S358" s="4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4"/>
      <c r="G359" s="4"/>
      <c r="H359" s="5"/>
      <c r="I359" s="5"/>
      <c r="J359" s="5"/>
      <c r="K359" s="2"/>
      <c r="L359" s="2"/>
      <c r="M359" s="2"/>
      <c r="N359" s="6"/>
      <c r="O359" s="6"/>
      <c r="P359" s="6"/>
      <c r="Q359" s="6"/>
      <c r="R359" s="4"/>
      <c r="S359" s="4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4"/>
      <c r="G360" s="4"/>
      <c r="H360" s="5"/>
      <c r="I360" s="5"/>
      <c r="J360" s="5"/>
      <c r="K360" s="2"/>
      <c r="L360" s="2"/>
      <c r="M360" s="2"/>
      <c r="N360" s="6"/>
      <c r="O360" s="6"/>
      <c r="P360" s="6"/>
      <c r="Q360" s="6"/>
      <c r="R360" s="4"/>
      <c r="S360" s="4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4"/>
      <c r="G361" s="4"/>
      <c r="H361" s="5"/>
      <c r="I361" s="5"/>
      <c r="J361" s="5"/>
      <c r="K361" s="2"/>
      <c r="L361" s="2"/>
      <c r="M361" s="2"/>
      <c r="N361" s="6"/>
      <c r="O361" s="6"/>
      <c r="P361" s="6"/>
      <c r="Q361" s="6"/>
      <c r="R361" s="4"/>
      <c r="S361" s="4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4"/>
      <c r="G362" s="4"/>
      <c r="H362" s="5"/>
      <c r="I362" s="5"/>
      <c r="J362" s="5"/>
      <c r="K362" s="2"/>
      <c r="L362" s="2"/>
      <c r="M362" s="2"/>
      <c r="N362" s="6"/>
      <c r="O362" s="6"/>
      <c r="P362" s="6"/>
      <c r="Q362" s="6"/>
      <c r="R362" s="4"/>
      <c r="S362" s="4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4"/>
      <c r="G363" s="4"/>
      <c r="H363" s="5"/>
      <c r="I363" s="5"/>
      <c r="J363" s="5"/>
      <c r="K363" s="2"/>
      <c r="L363" s="2"/>
      <c r="M363" s="2"/>
      <c r="N363" s="6"/>
      <c r="O363" s="6"/>
      <c r="P363" s="6"/>
      <c r="Q363" s="6"/>
      <c r="R363" s="4"/>
      <c r="S363" s="4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4"/>
      <c r="G364" s="4"/>
      <c r="H364" s="5"/>
      <c r="I364" s="5"/>
      <c r="J364" s="5"/>
      <c r="K364" s="2"/>
      <c r="L364" s="2"/>
      <c r="M364" s="2"/>
      <c r="N364" s="6"/>
      <c r="O364" s="6"/>
      <c r="P364" s="6"/>
      <c r="Q364" s="6"/>
      <c r="R364" s="4"/>
      <c r="S364" s="4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4"/>
      <c r="G365" s="4"/>
      <c r="H365" s="5"/>
      <c r="I365" s="5"/>
      <c r="J365" s="5"/>
      <c r="K365" s="2"/>
      <c r="L365" s="2"/>
      <c r="M365" s="2"/>
      <c r="N365" s="6"/>
      <c r="O365" s="6"/>
      <c r="P365" s="6"/>
      <c r="Q365" s="6"/>
      <c r="R365" s="4"/>
      <c r="S365" s="4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4"/>
      <c r="G366" s="4"/>
      <c r="H366" s="5"/>
      <c r="I366" s="5"/>
      <c r="J366" s="5"/>
      <c r="K366" s="2"/>
      <c r="L366" s="2"/>
      <c r="M366" s="2"/>
      <c r="N366" s="6"/>
      <c r="O366" s="6"/>
      <c r="P366" s="6"/>
      <c r="Q366" s="6"/>
      <c r="R366" s="4"/>
      <c r="S366" s="4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4"/>
      <c r="G367" s="4"/>
      <c r="H367" s="5"/>
      <c r="I367" s="5"/>
      <c r="J367" s="5"/>
      <c r="K367" s="2"/>
      <c r="L367" s="2"/>
      <c r="M367" s="2"/>
      <c r="N367" s="6"/>
      <c r="O367" s="6"/>
      <c r="P367" s="6"/>
      <c r="Q367" s="6"/>
      <c r="R367" s="4"/>
      <c r="S367" s="4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4"/>
      <c r="G368" s="4"/>
      <c r="H368" s="5"/>
      <c r="I368" s="5"/>
      <c r="J368" s="5"/>
      <c r="K368" s="2"/>
      <c r="L368" s="2"/>
      <c r="M368" s="2"/>
      <c r="N368" s="6"/>
      <c r="O368" s="6"/>
      <c r="P368" s="6"/>
      <c r="Q368" s="6"/>
      <c r="R368" s="4"/>
      <c r="S368" s="4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4"/>
      <c r="G369" s="4"/>
      <c r="H369" s="5"/>
      <c r="I369" s="5"/>
      <c r="J369" s="5"/>
      <c r="K369" s="2"/>
      <c r="L369" s="2"/>
      <c r="M369" s="2"/>
      <c r="N369" s="6"/>
      <c r="O369" s="6"/>
      <c r="P369" s="6"/>
      <c r="Q369" s="6"/>
      <c r="R369" s="4"/>
      <c r="S369" s="4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4"/>
      <c r="G370" s="4"/>
      <c r="H370" s="5"/>
      <c r="I370" s="5"/>
      <c r="J370" s="5"/>
      <c r="K370" s="2"/>
      <c r="L370" s="2"/>
      <c r="M370" s="2"/>
      <c r="N370" s="6"/>
      <c r="O370" s="6"/>
      <c r="P370" s="6"/>
      <c r="Q370" s="6"/>
      <c r="R370" s="4"/>
      <c r="S370" s="4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4"/>
      <c r="G371" s="4"/>
      <c r="H371" s="5"/>
      <c r="I371" s="5"/>
      <c r="J371" s="5"/>
      <c r="K371" s="2"/>
      <c r="L371" s="2"/>
      <c r="M371" s="2"/>
      <c r="N371" s="6"/>
      <c r="O371" s="6"/>
      <c r="P371" s="6"/>
      <c r="Q371" s="6"/>
      <c r="R371" s="4"/>
      <c r="S371" s="4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4"/>
      <c r="G372" s="4"/>
      <c r="H372" s="5"/>
      <c r="I372" s="5"/>
      <c r="J372" s="5"/>
      <c r="K372" s="2"/>
      <c r="L372" s="2"/>
      <c r="M372" s="2"/>
      <c r="N372" s="6"/>
      <c r="O372" s="6"/>
      <c r="P372" s="6"/>
      <c r="Q372" s="6"/>
      <c r="R372" s="4"/>
      <c r="S372" s="4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4"/>
      <c r="G373" s="4"/>
      <c r="H373" s="5"/>
      <c r="I373" s="5"/>
      <c r="J373" s="5"/>
      <c r="K373" s="2"/>
      <c r="L373" s="2"/>
      <c r="M373" s="2"/>
      <c r="N373" s="6"/>
      <c r="O373" s="6"/>
      <c r="P373" s="6"/>
      <c r="Q373" s="6"/>
      <c r="R373" s="4"/>
      <c r="S373" s="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4"/>
      <c r="G374" s="4"/>
      <c r="H374" s="5"/>
      <c r="I374" s="5"/>
      <c r="J374" s="5"/>
      <c r="K374" s="2"/>
      <c r="L374" s="2"/>
      <c r="M374" s="2"/>
      <c r="N374" s="6"/>
      <c r="O374" s="6"/>
      <c r="P374" s="6"/>
      <c r="Q374" s="6"/>
      <c r="R374" s="4"/>
      <c r="S374" s="4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4"/>
      <c r="G375" s="4"/>
      <c r="H375" s="5"/>
      <c r="I375" s="5"/>
      <c r="J375" s="5"/>
      <c r="K375" s="2"/>
      <c r="L375" s="2"/>
      <c r="M375" s="2"/>
      <c r="N375" s="6"/>
      <c r="O375" s="6"/>
      <c r="P375" s="6"/>
      <c r="Q375" s="6"/>
      <c r="R375" s="4"/>
      <c r="S375" s="4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4"/>
      <c r="G376" s="4"/>
      <c r="H376" s="5"/>
      <c r="I376" s="5"/>
      <c r="J376" s="5"/>
      <c r="K376" s="2"/>
      <c r="L376" s="2"/>
      <c r="M376" s="2"/>
      <c r="N376" s="6"/>
      <c r="O376" s="6"/>
      <c r="P376" s="6"/>
      <c r="Q376" s="6"/>
      <c r="R376" s="4"/>
      <c r="S376" s="4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4"/>
      <c r="G377" s="4"/>
      <c r="H377" s="5"/>
      <c r="I377" s="5"/>
      <c r="J377" s="5"/>
      <c r="K377" s="2"/>
      <c r="L377" s="2"/>
      <c r="M377" s="2"/>
      <c r="N377" s="6"/>
      <c r="O377" s="6"/>
      <c r="P377" s="6"/>
      <c r="Q377" s="6"/>
      <c r="R377" s="4"/>
      <c r="S377" s="4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4"/>
      <c r="G378" s="4"/>
      <c r="H378" s="5"/>
      <c r="I378" s="5"/>
      <c r="J378" s="5"/>
      <c r="K378" s="2"/>
      <c r="L378" s="2"/>
      <c r="M378" s="2"/>
      <c r="N378" s="6"/>
      <c r="O378" s="6"/>
      <c r="P378" s="6"/>
      <c r="Q378" s="6"/>
      <c r="R378" s="4"/>
      <c r="S378" s="4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4"/>
      <c r="G379" s="4"/>
      <c r="H379" s="5"/>
      <c r="I379" s="5"/>
      <c r="J379" s="5"/>
      <c r="K379" s="2"/>
      <c r="L379" s="2"/>
      <c r="M379" s="2"/>
      <c r="N379" s="6"/>
      <c r="O379" s="6"/>
      <c r="P379" s="6"/>
      <c r="Q379" s="6"/>
      <c r="R379" s="4"/>
      <c r="S379" s="4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4"/>
      <c r="G380" s="4"/>
      <c r="H380" s="5"/>
      <c r="I380" s="5"/>
      <c r="J380" s="5"/>
      <c r="K380" s="2"/>
      <c r="L380" s="2"/>
      <c r="M380" s="2"/>
      <c r="N380" s="6"/>
      <c r="O380" s="6"/>
      <c r="P380" s="6"/>
      <c r="Q380" s="6"/>
      <c r="R380" s="4"/>
      <c r="S380" s="4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4"/>
      <c r="G381" s="4"/>
      <c r="H381" s="5"/>
      <c r="I381" s="5"/>
      <c r="J381" s="5"/>
      <c r="K381" s="2"/>
      <c r="L381" s="2"/>
      <c r="M381" s="2"/>
      <c r="N381" s="6"/>
      <c r="O381" s="6"/>
      <c r="P381" s="6"/>
      <c r="Q381" s="6"/>
      <c r="R381" s="4"/>
      <c r="S381" s="4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4"/>
      <c r="G382" s="4"/>
      <c r="H382" s="5"/>
      <c r="I382" s="5"/>
      <c r="J382" s="5"/>
      <c r="K382" s="2"/>
      <c r="L382" s="2"/>
      <c r="M382" s="2"/>
      <c r="N382" s="6"/>
      <c r="O382" s="6"/>
      <c r="P382" s="6"/>
      <c r="Q382" s="6"/>
      <c r="R382" s="4"/>
      <c r="S382" s="4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4"/>
      <c r="G383" s="4"/>
      <c r="H383" s="5"/>
      <c r="I383" s="5"/>
      <c r="J383" s="5"/>
      <c r="K383" s="2"/>
      <c r="L383" s="2"/>
      <c r="M383" s="2"/>
      <c r="N383" s="6"/>
      <c r="O383" s="6"/>
      <c r="P383" s="6"/>
      <c r="Q383" s="6"/>
      <c r="R383" s="4"/>
      <c r="S383" s="4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4"/>
      <c r="G384" s="4"/>
      <c r="H384" s="5"/>
      <c r="I384" s="5"/>
      <c r="J384" s="5"/>
      <c r="K384" s="2"/>
      <c r="L384" s="2"/>
      <c r="M384" s="2"/>
      <c r="N384" s="6"/>
      <c r="O384" s="6"/>
      <c r="P384" s="6"/>
      <c r="Q384" s="6"/>
      <c r="R384" s="4"/>
      <c r="S384" s="4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4"/>
      <c r="G385" s="4"/>
      <c r="H385" s="5"/>
      <c r="I385" s="5"/>
      <c r="J385" s="5"/>
      <c r="K385" s="2"/>
      <c r="L385" s="2"/>
      <c r="M385" s="2"/>
      <c r="N385" s="6"/>
      <c r="O385" s="6"/>
      <c r="P385" s="6"/>
      <c r="Q385" s="6"/>
      <c r="R385" s="4"/>
      <c r="S385" s="4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4"/>
      <c r="G386" s="4"/>
      <c r="H386" s="5"/>
      <c r="I386" s="5"/>
      <c r="J386" s="5"/>
      <c r="K386" s="2"/>
      <c r="L386" s="2"/>
      <c r="M386" s="2"/>
      <c r="N386" s="6"/>
      <c r="O386" s="6"/>
      <c r="P386" s="6"/>
      <c r="Q386" s="6"/>
      <c r="R386" s="4"/>
      <c r="S386" s="4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4"/>
      <c r="G387" s="4"/>
      <c r="H387" s="5"/>
      <c r="I387" s="5"/>
      <c r="J387" s="5"/>
      <c r="K387" s="2"/>
      <c r="L387" s="2"/>
      <c r="M387" s="2"/>
      <c r="N387" s="6"/>
      <c r="O387" s="6"/>
      <c r="P387" s="6"/>
      <c r="Q387" s="6"/>
      <c r="R387" s="4"/>
      <c r="S387" s="4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4"/>
      <c r="G388" s="4"/>
      <c r="H388" s="5"/>
      <c r="I388" s="5"/>
      <c r="J388" s="5"/>
      <c r="K388" s="2"/>
      <c r="L388" s="2"/>
      <c r="M388" s="2"/>
      <c r="N388" s="6"/>
      <c r="O388" s="6"/>
      <c r="P388" s="6"/>
      <c r="Q388" s="6"/>
      <c r="R388" s="4"/>
      <c r="S388" s="4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4"/>
      <c r="G389" s="4"/>
      <c r="H389" s="5"/>
      <c r="I389" s="5"/>
      <c r="J389" s="5"/>
      <c r="K389" s="2"/>
      <c r="L389" s="2"/>
      <c r="M389" s="2"/>
      <c r="N389" s="6"/>
      <c r="O389" s="6"/>
      <c r="P389" s="6"/>
      <c r="Q389" s="6"/>
      <c r="R389" s="4"/>
      <c r="S389" s="4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4"/>
      <c r="G390" s="4"/>
      <c r="H390" s="5"/>
      <c r="I390" s="5"/>
      <c r="J390" s="5"/>
      <c r="K390" s="2"/>
      <c r="L390" s="2"/>
      <c r="M390" s="2"/>
      <c r="N390" s="6"/>
      <c r="O390" s="6"/>
      <c r="P390" s="6"/>
      <c r="Q390" s="6"/>
      <c r="R390" s="4"/>
      <c r="S390" s="4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4"/>
      <c r="G391" s="4"/>
      <c r="H391" s="5"/>
      <c r="I391" s="5"/>
      <c r="J391" s="5"/>
      <c r="K391" s="2"/>
      <c r="L391" s="2"/>
      <c r="M391" s="2"/>
      <c r="N391" s="6"/>
      <c r="O391" s="6"/>
      <c r="P391" s="6"/>
      <c r="Q391" s="6"/>
      <c r="R391" s="4"/>
      <c r="S391" s="4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4"/>
      <c r="G392" s="4"/>
      <c r="H392" s="5"/>
      <c r="I392" s="5"/>
      <c r="J392" s="5"/>
      <c r="K392" s="2"/>
      <c r="L392" s="2"/>
      <c r="M392" s="2"/>
      <c r="N392" s="6"/>
      <c r="O392" s="6"/>
      <c r="P392" s="6"/>
      <c r="Q392" s="6"/>
      <c r="R392" s="4"/>
      <c r="S392" s="4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4"/>
      <c r="G393" s="4"/>
      <c r="H393" s="5"/>
      <c r="I393" s="5"/>
      <c r="J393" s="5"/>
      <c r="K393" s="2"/>
      <c r="L393" s="2"/>
      <c r="M393" s="2"/>
      <c r="N393" s="6"/>
      <c r="O393" s="6"/>
      <c r="P393" s="6"/>
      <c r="Q393" s="6"/>
      <c r="R393" s="4"/>
      <c r="S393" s="4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4"/>
      <c r="G394" s="4"/>
      <c r="H394" s="5"/>
      <c r="I394" s="5"/>
      <c r="J394" s="5"/>
      <c r="K394" s="2"/>
      <c r="L394" s="2"/>
      <c r="M394" s="2"/>
      <c r="N394" s="6"/>
      <c r="O394" s="6"/>
      <c r="P394" s="6"/>
      <c r="Q394" s="6"/>
      <c r="R394" s="4"/>
      <c r="S394" s="4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4"/>
      <c r="G395" s="4"/>
      <c r="H395" s="5"/>
      <c r="I395" s="5"/>
      <c r="J395" s="5"/>
      <c r="K395" s="2"/>
      <c r="L395" s="2"/>
      <c r="M395" s="2"/>
      <c r="N395" s="6"/>
      <c r="O395" s="6"/>
      <c r="P395" s="6"/>
      <c r="Q395" s="6"/>
      <c r="R395" s="4"/>
      <c r="S395" s="4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4"/>
      <c r="G396" s="4"/>
      <c r="H396" s="5"/>
      <c r="I396" s="5"/>
      <c r="J396" s="5"/>
      <c r="K396" s="2"/>
      <c r="L396" s="2"/>
      <c r="M396" s="2"/>
      <c r="N396" s="6"/>
      <c r="O396" s="6"/>
      <c r="P396" s="6"/>
      <c r="Q396" s="6"/>
      <c r="R396" s="4"/>
      <c r="S396" s="4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4"/>
      <c r="G397" s="4"/>
      <c r="H397" s="5"/>
      <c r="I397" s="5"/>
      <c r="J397" s="5"/>
      <c r="K397" s="2"/>
      <c r="L397" s="2"/>
      <c r="M397" s="2"/>
      <c r="N397" s="6"/>
      <c r="O397" s="6"/>
      <c r="P397" s="6"/>
      <c r="Q397" s="6"/>
      <c r="R397" s="4"/>
      <c r="S397" s="4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4"/>
      <c r="G398" s="4"/>
      <c r="H398" s="5"/>
      <c r="I398" s="5"/>
      <c r="J398" s="5"/>
      <c r="K398" s="2"/>
      <c r="L398" s="2"/>
      <c r="M398" s="2"/>
      <c r="N398" s="6"/>
      <c r="O398" s="6"/>
      <c r="P398" s="6"/>
      <c r="Q398" s="6"/>
      <c r="R398" s="4"/>
      <c r="S398" s="4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4"/>
      <c r="G399" s="4"/>
      <c r="H399" s="5"/>
      <c r="I399" s="5"/>
      <c r="J399" s="5"/>
      <c r="K399" s="2"/>
      <c r="L399" s="2"/>
      <c r="M399" s="2"/>
      <c r="N399" s="6"/>
      <c r="O399" s="6"/>
      <c r="P399" s="6"/>
      <c r="Q399" s="6"/>
      <c r="R399" s="4"/>
      <c r="S399" s="4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4"/>
      <c r="G400" s="4"/>
      <c r="H400" s="5"/>
      <c r="I400" s="5"/>
      <c r="J400" s="5"/>
      <c r="K400" s="2"/>
      <c r="L400" s="2"/>
      <c r="M400" s="2"/>
      <c r="N400" s="6"/>
      <c r="O400" s="6"/>
      <c r="P400" s="6"/>
      <c r="Q400" s="6"/>
      <c r="R400" s="4"/>
      <c r="S400" s="4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4"/>
      <c r="G401" s="4"/>
      <c r="H401" s="5"/>
      <c r="I401" s="5"/>
      <c r="J401" s="5"/>
      <c r="K401" s="2"/>
      <c r="L401" s="2"/>
      <c r="M401" s="2"/>
      <c r="N401" s="6"/>
      <c r="O401" s="6"/>
      <c r="P401" s="6"/>
      <c r="Q401" s="6"/>
      <c r="R401" s="4"/>
      <c r="S401" s="4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4"/>
      <c r="G402" s="4"/>
      <c r="H402" s="5"/>
      <c r="I402" s="5"/>
      <c r="J402" s="5"/>
      <c r="K402" s="2"/>
      <c r="L402" s="2"/>
      <c r="M402" s="2"/>
      <c r="N402" s="6"/>
      <c r="O402" s="6"/>
      <c r="P402" s="6"/>
      <c r="Q402" s="6"/>
      <c r="R402" s="4"/>
      <c r="S402" s="4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4"/>
      <c r="G403" s="4"/>
      <c r="H403" s="5"/>
      <c r="I403" s="5"/>
      <c r="J403" s="5"/>
      <c r="K403" s="2"/>
      <c r="L403" s="2"/>
      <c r="M403" s="2"/>
      <c r="N403" s="6"/>
      <c r="O403" s="6"/>
      <c r="P403" s="6"/>
      <c r="Q403" s="6"/>
      <c r="R403" s="4"/>
      <c r="S403" s="4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4"/>
      <c r="G404" s="4"/>
      <c r="H404" s="5"/>
      <c r="I404" s="5"/>
      <c r="J404" s="5"/>
      <c r="K404" s="2"/>
      <c r="L404" s="2"/>
      <c r="M404" s="2"/>
      <c r="N404" s="6"/>
      <c r="O404" s="6"/>
      <c r="P404" s="6"/>
      <c r="Q404" s="6"/>
      <c r="R404" s="4"/>
      <c r="S404" s="4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4"/>
      <c r="G405" s="4"/>
      <c r="H405" s="5"/>
      <c r="I405" s="5"/>
      <c r="J405" s="5"/>
      <c r="K405" s="2"/>
      <c r="L405" s="2"/>
      <c r="M405" s="2"/>
      <c r="N405" s="6"/>
      <c r="O405" s="6"/>
      <c r="P405" s="6"/>
      <c r="Q405" s="6"/>
      <c r="R405" s="4"/>
      <c r="S405" s="4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4"/>
      <c r="G406" s="4"/>
      <c r="H406" s="5"/>
      <c r="I406" s="5"/>
      <c r="J406" s="5"/>
      <c r="K406" s="2"/>
      <c r="L406" s="2"/>
      <c r="M406" s="2"/>
      <c r="N406" s="6"/>
      <c r="O406" s="6"/>
      <c r="P406" s="6"/>
      <c r="Q406" s="6"/>
      <c r="R406" s="4"/>
      <c r="S406" s="4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4"/>
      <c r="G407" s="4"/>
      <c r="H407" s="5"/>
      <c r="I407" s="5"/>
      <c r="J407" s="5"/>
      <c r="K407" s="2"/>
      <c r="L407" s="2"/>
      <c r="M407" s="2"/>
      <c r="N407" s="6"/>
      <c r="O407" s="6"/>
      <c r="P407" s="6"/>
      <c r="Q407" s="6"/>
      <c r="R407" s="4"/>
      <c r="S407" s="4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4"/>
      <c r="G408" s="4"/>
      <c r="H408" s="5"/>
      <c r="I408" s="5"/>
      <c r="J408" s="5"/>
      <c r="K408" s="2"/>
      <c r="L408" s="2"/>
      <c r="M408" s="2"/>
      <c r="N408" s="6"/>
      <c r="O408" s="6"/>
      <c r="P408" s="6"/>
      <c r="Q408" s="6"/>
      <c r="R408" s="4"/>
      <c r="S408" s="4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4"/>
      <c r="G409" s="4"/>
      <c r="H409" s="5"/>
      <c r="I409" s="5"/>
      <c r="J409" s="5"/>
      <c r="K409" s="2"/>
      <c r="L409" s="2"/>
      <c r="M409" s="2"/>
      <c r="N409" s="6"/>
      <c r="O409" s="6"/>
      <c r="P409" s="6"/>
      <c r="Q409" s="6"/>
      <c r="R409" s="4"/>
      <c r="S409" s="4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4"/>
      <c r="G410" s="4"/>
      <c r="H410" s="5"/>
      <c r="I410" s="5"/>
      <c r="J410" s="5"/>
      <c r="K410" s="2"/>
      <c r="L410" s="2"/>
      <c r="M410" s="2"/>
      <c r="N410" s="6"/>
      <c r="O410" s="6"/>
      <c r="P410" s="6"/>
      <c r="Q410" s="6"/>
      <c r="R410" s="4"/>
      <c r="S410" s="4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4"/>
      <c r="G411" s="4"/>
      <c r="H411" s="5"/>
      <c r="I411" s="5"/>
      <c r="J411" s="5"/>
      <c r="K411" s="2"/>
      <c r="L411" s="2"/>
      <c r="M411" s="2"/>
      <c r="N411" s="6"/>
      <c r="O411" s="6"/>
      <c r="P411" s="6"/>
      <c r="Q411" s="6"/>
      <c r="R411" s="4"/>
      <c r="S411" s="4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4"/>
      <c r="G412" s="4"/>
      <c r="H412" s="5"/>
      <c r="I412" s="5"/>
      <c r="J412" s="5"/>
      <c r="K412" s="2"/>
      <c r="L412" s="2"/>
      <c r="M412" s="2"/>
      <c r="N412" s="6"/>
      <c r="O412" s="6"/>
      <c r="P412" s="6"/>
      <c r="Q412" s="6"/>
      <c r="R412" s="4"/>
      <c r="S412" s="4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4"/>
      <c r="G413" s="4"/>
      <c r="H413" s="5"/>
      <c r="I413" s="5"/>
      <c r="J413" s="5"/>
      <c r="K413" s="2"/>
      <c r="L413" s="2"/>
      <c r="M413" s="2"/>
      <c r="N413" s="6"/>
      <c r="O413" s="6"/>
      <c r="P413" s="6"/>
      <c r="Q413" s="6"/>
      <c r="R413" s="4"/>
      <c r="S413" s="4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4"/>
      <c r="G414" s="4"/>
      <c r="H414" s="5"/>
      <c r="I414" s="5"/>
      <c r="J414" s="5"/>
      <c r="K414" s="2"/>
      <c r="L414" s="2"/>
      <c r="M414" s="2"/>
      <c r="N414" s="6"/>
      <c r="O414" s="6"/>
      <c r="P414" s="6"/>
      <c r="Q414" s="6"/>
      <c r="R414" s="4"/>
      <c r="S414" s="4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4"/>
      <c r="G415" s="4"/>
      <c r="H415" s="5"/>
      <c r="I415" s="5"/>
      <c r="J415" s="5"/>
      <c r="K415" s="2"/>
      <c r="L415" s="2"/>
      <c r="M415" s="2"/>
      <c r="N415" s="6"/>
      <c r="O415" s="6"/>
      <c r="P415" s="6"/>
      <c r="Q415" s="6"/>
      <c r="R415" s="4"/>
      <c r="S415" s="4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4"/>
      <c r="G416" s="4"/>
      <c r="H416" s="5"/>
      <c r="I416" s="5"/>
      <c r="J416" s="5"/>
      <c r="K416" s="2"/>
      <c r="L416" s="2"/>
      <c r="M416" s="2"/>
      <c r="N416" s="6"/>
      <c r="O416" s="6"/>
      <c r="P416" s="6"/>
      <c r="Q416" s="6"/>
      <c r="R416" s="4"/>
      <c r="S416" s="4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4"/>
      <c r="G417" s="4"/>
      <c r="H417" s="5"/>
      <c r="I417" s="5"/>
      <c r="J417" s="5"/>
      <c r="K417" s="2"/>
      <c r="L417" s="2"/>
      <c r="M417" s="2"/>
      <c r="N417" s="6"/>
      <c r="O417" s="6"/>
      <c r="P417" s="6"/>
      <c r="Q417" s="6"/>
      <c r="R417" s="4"/>
      <c r="S417" s="4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4"/>
      <c r="G418" s="4"/>
      <c r="H418" s="5"/>
      <c r="I418" s="5"/>
      <c r="J418" s="5"/>
      <c r="K418" s="2"/>
      <c r="L418" s="2"/>
      <c r="M418" s="2"/>
      <c r="N418" s="6"/>
      <c r="O418" s="6"/>
      <c r="P418" s="6"/>
      <c r="Q418" s="6"/>
      <c r="R418" s="4"/>
      <c r="S418" s="4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4"/>
      <c r="G419" s="4"/>
      <c r="H419" s="5"/>
      <c r="I419" s="5"/>
      <c r="J419" s="5"/>
      <c r="K419" s="2"/>
      <c r="L419" s="2"/>
      <c r="M419" s="2"/>
      <c r="N419" s="6"/>
      <c r="O419" s="6"/>
      <c r="P419" s="6"/>
      <c r="Q419" s="6"/>
      <c r="R419" s="4"/>
      <c r="S419" s="4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4"/>
      <c r="G420" s="4"/>
      <c r="H420" s="5"/>
      <c r="I420" s="5"/>
      <c r="J420" s="5"/>
      <c r="K420" s="2"/>
      <c r="L420" s="2"/>
      <c r="M420" s="2"/>
      <c r="N420" s="6"/>
      <c r="O420" s="6"/>
      <c r="P420" s="6"/>
      <c r="Q420" s="6"/>
      <c r="R420" s="4"/>
      <c r="S420" s="4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4"/>
      <c r="G421" s="4"/>
      <c r="H421" s="5"/>
      <c r="I421" s="5"/>
      <c r="J421" s="5"/>
      <c r="K421" s="2"/>
      <c r="L421" s="2"/>
      <c r="M421" s="2"/>
      <c r="N421" s="6"/>
      <c r="O421" s="6"/>
      <c r="P421" s="6"/>
      <c r="Q421" s="6"/>
      <c r="R421" s="4"/>
      <c r="S421" s="4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4"/>
      <c r="G422" s="4"/>
      <c r="H422" s="5"/>
      <c r="I422" s="5"/>
      <c r="J422" s="5"/>
      <c r="K422" s="2"/>
      <c r="L422" s="2"/>
      <c r="M422" s="2"/>
      <c r="N422" s="6"/>
      <c r="O422" s="6"/>
      <c r="P422" s="6"/>
      <c r="Q422" s="6"/>
      <c r="R422" s="4"/>
      <c r="S422" s="4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4"/>
      <c r="G423" s="4"/>
      <c r="H423" s="5"/>
      <c r="I423" s="5"/>
      <c r="J423" s="5"/>
      <c r="K423" s="2"/>
      <c r="L423" s="2"/>
      <c r="M423" s="2"/>
      <c r="N423" s="6"/>
      <c r="O423" s="6"/>
      <c r="P423" s="6"/>
      <c r="Q423" s="6"/>
      <c r="R423" s="4"/>
      <c r="S423" s="4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4"/>
      <c r="G424" s="4"/>
      <c r="H424" s="5"/>
      <c r="I424" s="5"/>
      <c r="J424" s="5"/>
      <c r="K424" s="2"/>
      <c r="L424" s="2"/>
      <c r="M424" s="2"/>
      <c r="N424" s="6"/>
      <c r="O424" s="6"/>
      <c r="P424" s="6"/>
      <c r="Q424" s="6"/>
      <c r="R424" s="4"/>
      <c r="S424" s="4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4"/>
      <c r="G425" s="4"/>
      <c r="H425" s="5"/>
      <c r="I425" s="5"/>
      <c r="J425" s="5"/>
      <c r="K425" s="2"/>
      <c r="L425" s="2"/>
      <c r="M425" s="2"/>
      <c r="N425" s="6"/>
      <c r="O425" s="6"/>
      <c r="P425" s="6"/>
      <c r="Q425" s="6"/>
      <c r="R425" s="4"/>
      <c r="S425" s="4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4"/>
      <c r="G426" s="4"/>
      <c r="H426" s="5"/>
      <c r="I426" s="5"/>
      <c r="J426" s="5"/>
      <c r="K426" s="2"/>
      <c r="L426" s="2"/>
      <c r="M426" s="2"/>
      <c r="N426" s="6"/>
      <c r="O426" s="6"/>
      <c r="P426" s="6"/>
      <c r="Q426" s="6"/>
      <c r="R426" s="4"/>
      <c r="S426" s="4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4"/>
      <c r="G427" s="4"/>
      <c r="H427" s="5"/>
      <c r="I427" s="5"/>
      <c r="J427" s="5"/>
      <c r="K427" s="2"/>
      <c r="L427" s="2"/>
      <c r="M427" s="2"/>
      <c r="N427" s="6"/>
      <c r="O427" s="6"/>
      <c r="P427" s="6"/>
      <c r="Q427" s="6"/>
      <c r="R427" s="4"/>
      <c r="S427" s="4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4"/>
      <c r="G428" s="4"/>
      <c r="H428" s="5"/>
      <c r="I428" s="5"/>
      <c r="J428" s="5"/>
      <c r="K428" s="2"/>
      <c r="L428" s="2"/>
      <c r="M428" s="2"/>
      <c r="N428" s="6"/>
      <c r="O428" s="6"/>
      <c r="P428" s="6"/>
      <c r="Q428" s="6"/>
      <c r="R428" s="4"/>
      <c r="S428" s="4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4"/>
      <c r="G429" s="4"/>
      <c r="H429" s="5"/>
      <c r="I429" s="5"/>
      <c r="J429" s="5"/>
      <c r="K429" s="2"/>
      <c r="L429" s="2"/>
      <c r="M429" s="2"/>
      <c r="N429" s="6"/>
      <c r="O429" s="6"/>
      <c r="P429" s="6"/>
      <c r="Q429" s="6"/>
      <c r="R429" s="4"/>
      <c r="S429" s="4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4"/>
      <c r="G430" s="4"/>
      <c r="H430" s="5"/>
      <c r="I430" s="5"/>
      <c r="J430" s="5"/>
      <c r="K430" s="2"/>
      <c r="L430" s="2"/>
      <c r="M430" s="2"/>
      <c r="N430" s="6"/>
      <c r="O430" s="6"/>
      <c r="P430" s="6"/>
      <c r="Q430" s="6"/>
      <c r="R430" s="4"/>
      <c r="S430" s="4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4"/>
      <c r="G431" s="4"/>
      <c r="H431" s="5"/>
      <c r="I431" s="5"/>
      <c r="J431" s="5"/>
      <c r="K431" s="2"/>
      <c r="L431" s="2"/>
      <c r="M431" s="2"/>
      <c r="N431" s="6"/>
      <c r="O431" s="6"/>
      <c r="P431" s="6"/>
      <c r="Q431" s="6"/>
      <c r="R431" s="4"/>
      <c r="S431" s="4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4"/>
      <c r="G432" s="4"/>
      <c r="H432" s="5"/>
      <c r="I432" s="5"/>
      <c r="J432" s="5"/>
      <c r="K432" s="2"/>
      <c r="L432" s="2"/>
      <c r="M432" s="2"/>
      <c r="N432" s="6"/>
      <c r="O432" s="6"/>
      <c r="P432" s="6"/>
      <c r="Q432" s="6"/>
      <c r="R432" s="4"/>
      <c r="S432" s="4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4"/>
      <c r="G433" s="4"/>
      <c r="H433" s="5"/>
      <c r="I433" s="5"/>
      <c r="J433" s="5"/>
      <c r="K433" s="2"/>
      <c r="L433" s="2"/>
      <c r="M433" s="2"/>
      <c r="N433" s="6"/>
      <c r="O433" s="6"/>
      <c r="P433" s="6"/>
      <c r="Q433" s="6"/>
      <c r="R433" s="4"/>
      <c r="S433" s="4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4"/>
      <c r="G434" s="4"/>
      <c r="H434" s="5"/>
      <c r="I434" s="5"/>
      <c r="J434" s="5"/>
      <c r="K434" s="2"/>
      <c r="L434" s="2"/>
      <c r="M434" s="2"/>
      <c r="N434" s="6"/>
      <c r="O434" s="6"/>
      <c r="P434" s="6"/>
      <c r="Q434" s="6"/>
      <c r="R434" s="4"/>
      <c r="S434" s="4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4"/>
      <c r="G435" s="4"/>
      <c r="H435" s="5"/>
      <c r="I435" s="5"/>
      <c r="J435" s="5"/>
      <c r="K435" s="2"/>
      <c r="L435" s="2"/>
      <c r="M435" s="2"/>
      <c r="N435" s="6"/>
      <c r="O435" s="6"/>
      <c r="P435" s="6"/>
      <c r="Q435" s="6"/>
      <c r="R435" s="4"/>
      <c r="S435" s="4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4"/>
      <c r="G436" s="4"/>
      <c r="H436" s="5"/>
      <c r="I436" s="5"/>
      <c r="J436" s="5"/>
      <c r="K436" s="2"/>
      <c r="L436" s="2"/>
      <c r="M436" s="2"/>
      <c r="N436" s="6"/>
      <c r="O436" s="6"/>
      <c r="P436" s="6"/>
      <c r="Q436" s="6"/>
      <c r="R436" s="4"/>
      <c r="S436" s="4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4"/>
      <c r="G437" s="4"/>
      <c r="H437" s="5"/>
      <c r="I437" s="5"/>
      <c r="J437" s="5"/>
      <c r="K437" s="2"/>
      <c r="L437" s="2"/>
      <c r="M437" s="2"/>
      <c r="N437" s="6"/>
      <c r="O437" s="6"/>
      <c r="P437" s="6"/>
      <c r="Q437" s="6"/>
      <c r="R437" s="4"/>
      <c r="S437" s="4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4"/>
      <c r="G438" s="4"/>
      <c r="H438" s="5"/>
      <c r="I438" s="5"/>
      <c r="J438" s="5"/>
      <c r="K438" s="2"/>
      <c r="L438" s="2"/>
      <c r="M438" s="2"/>
      <c r="N438" s="6"/>
      <c r="O438" s="6"/>
      <c r="P438" s="6"/>
      <c r="Q438" s="6"/>
      <c r="R438" s="4"/>
      <c r="S438" s="4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4"/>
      <c r="G439" s="4"/>
      <c r="H439" s="5"/>
      <c r="I439" s="5"/>
      <c r="J439" s="5"/>
      <c r="K439" s="2"/>
      <c r="L439" s="2"/>
      <c r="M439" s="2"/>
      <c r="N439" s="6"/>
      <c r="O439" s="6"/>
      <c r="P439" s="6"/>
      <c r="Q439" s="6"/>
      <c r="R439" s="4"/>
      <c r="S439" s="4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4"/>
      <c r="G440" s="4"/>
      <c r="H440" s="5"/>
      <c r="I440" s="5"/>
      <c r="J440" s="5"/>
      <c r="K440" s="2"/>
      <c r="L440" s="2"/>
      <c r="M440" s="2"/>
      <c r="N440" s="6"/>
      <c r="O440" s="6"/>
      <c r="P440" s="6"/>
      <c r="Q440" s="6"/>
      <c r="R440" s="4"/>
      <c r="S440" s="4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4"/>
      <c r="G441" s="4"/>
      <c r="H441" s="5"/>
      <c r="I441" s="5"/>
      <c r="J441" s="5"/>
      <c r="K441" s="2"/>
      <c r="L441" s="2"/>
      <c r="M441" s="2"/>
      <c r="N441" s="6"/>
      <c r="O441" s="6"/>
      <c r="P441" s="6"/>
      <c r="Q441" s="6"/>
      <c r="R441" s="4"/>
      <c r="S441" s="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4"/>
      <c r="G442" s="4"/>
      <c r="H442" s="5"/>
      <c r="I442" s="5"/>
      <c r="J442" s="5"/>
      <c r="K442" s="2"/>
      <c r="L442" s="2"/>
      <c r="M442" s="2"/>
      <c r="N442" s="6"/>
      <c r="O442" s="6"/>
      <c r="P442" s="6"/>
      <c r="Q442" s="6"/>
      <c r="R442" s="4"/>
      <c r="S442" s="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4"/>
      <c r="G443" s="4"/>
      <c r="H443" s="5"/>
      <c r="I443" s="5"/>
      <c r="J443" s="5"/>
      <c r="K443" s="2"/>
      <c r="L443" s="2"/>
      <c r="M443" s="2"/>
      <c r="N443" s="6"/>
      <c r="O443" s="6"/>
      <c r="P443" s="6"/>
      <c r="Q443" s="6"/>
      <c r="R443" s="4"/>
      <c r="S443" s="4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4"/>
      <c r="G444" s="4"/>
      <c r="H444" s="5"/>
      <c r="I444" s="5"/>
      <c r="J444" s="5"/>
      <c r="K444" s="2"/>
      <c r="L444" s="2"/>
      <c r="M444" s="2"/>
      <c r="N444" s="6"/>
      <c r="O444" s="6"/>
      <c r="P444" s="6"/>
      <c r="Q444" s="6"/>
      <c r="R444" s="4"/>
      <c r="S444" s="4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4"/>
      <c r="G445" s="4"/>
      <c r="H445" s="5"/>
      <c r="I445" s="5"/>
      <c r="J445" s="5"/>
      <c r="K445" s="2"/>
      <c r="L445" s="2"/>
      <c r="M445" s="2"/>
      <c r="N445" s="6"/>
      <c r="O445" s="6"/>
      <c r="P445" s="6"/>
      <c r="Q445" s="6"/>
      <c r="R445" s="4"/>
      <c r="S445" s="4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4"/>
      <c r="G446" s="4"/>
      <c r="H446" s="5"/>
      <c r="I446" s="5"/>
      <c r="J446" s="5"/>
      <c r="K446" s="2"/>
      <c r="L446" s="2"/>
      <c r="M446" s="2"/>
      <c r="N446" s="6"/>
      <c r="O446" s="6"/>
      <c r="P446" s="6"/>
      <c r="Q446" s="6"/>
      <c r="R446" s="4"/>
      <c r="S446" s="4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4"/>
      <c r="G447" s="4"/>
      <c r="H447" s="5"/>
      <c r="I447" s="5"/>
      <c r="J447" s="5"/>
      <c r="K447" s="2"/>
      <c r="L447" s="2"/>
      <c r="M447" s="2"/>
      <c r="N447" s="6"/>
      <c r="O447" s="6"/>
      <c r="P447" s="6"/>
      <c r="Q447" s="6"/>
      <c r="R447" s="4"/>
      <c r="S447" s="4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4"/>
      <c r="G448" s="4"/>
      <c r="H448" s="5"/>
      <c r="I448" s="5"/>
      <c r="J448" s="5"/>
      <c r="K448" s="2"/>
      <c r="L448" s="2"/>
      <c r="M448" s="2"/>
      <c r="N448" s="6"/>
      <c r="O448" s="6"/>
      <c r="P448" s="6"/>
      <c r="Q448" s="6"/>
      <c r="R448" s="4"/>
      <c r="S448" s="4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4"/>
      <c r="G449" s="4"/>
      <c r="H449" s="5"/>
      <c r="I449" s="5"/>
      <c r="J449" s="5"/>
      <c r="K449" s="2"/>
      <c r="L449" s="2"/>
      <c r="M449" s="2"/>
      <c r="N449" s="6"/>
      <c r="O449" s="6"/>
      <c r="P449" s="6"/>
      <c r="Q449" s="6"/>
      <c r="R449" s="4"/>
      <c r="S449" s="4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4"/>
      <c r="G450" s="4"/>
      <c r="H450" s="5"/>
      <c r="I450" s="5"/>
      <c r="J450" s="5"/>
      <c r="K450" s="2"/>
      <c r="L450" s="2"/>
      <c r="M450" s="2"/>
      <c r="N450" s="6"/>
      <c r="O450" s="6"/>
      <c r="P450" s="6"/>
      <c r="Q450" s="6"/>
      <c r="R450" s="4"/>
      <c r="S450" s="4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4"/>
      <c r="G451" s="4"/>
      <c r="H451" s="5"/>
      <c r="I451" s="5"/>
      <c r="J451" s="5"/>
      <c r="K451" s="2"/>
      <c r="L451" s="2"/>
      <c r="M451" s="2"/>
      <c r="N451" s="6"/>
      <c r="O451" s="6"/>
      <c r="P451" s="6"/>
      <c r="Q451" s="6"/>
      <c r="R451" s="4"/>
      <c r="S451" s="4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4"/>
      <c r="G452" s="4"/>
      <c r="H452" s="5"/>
      <c r="I452" s="5"/>
      <c r="J452" s="5"/>
      <c r="K452" s="2"/>
      <c r="L452" s="2"/>
      <c r="M452" s="2"/>
      <c r="N452" s="6"/>
      <c r="O452" s="6"/>
      <c r="P452" s="6"/>
      <c r="Q452" s="6"/>
      <c r="R452" s="4"/>
      <c r="S452" s="4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4"/>
      <c r="G453" s="4"/>
      <c r="H453" s="5"/>
      <c r="I453" s="5"/>
      <c r="J453" s="5"/>
      <c r="K453" s="2"/>
      <c r="L453" s="2"/>
      <c r="M453" s="2"/>
      <c r="N453" s="6"/>
      <c r="O453" s="6"/>
      <c r="P453" s="6"/>
      <c r="Q453" s="6"/>
      <c r="R453" s="4"/>
      <c r="S453" s="4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4"/>
      <c r="G454" s="4"/>
      <c r="H454" s="5"/>
      <c r="I454" s="5"/>
      <c r="J454" s="5"/>
      <c r="K454" s="2"/>
      <c r="L454" s="2"/>
      <c r="M454" s="2"/>
      <c r="N454" s="6"/>
      <c r="O454" s="6"/>
      <c r="P454" s="6"/>
      <c r="Q454" s="6"/>
      <c r="R454" s="4"/>
      <c r="S454" s="4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4"/>
      <c r="G455" s="4"/>
      <c r="H455" s="5"/>
      <c r="I455" s="5"/>
      <c r="J455" s="5"/>
      <c r="K455" s="2"/>
      <c r="L455" s="2"/>
      <c r="M455" s="2"/>
      <c r="N455" s="6"/>
      <c r="O455" s="6"/>
      <c r="P455" s="6"/>
      <c r="Q455" s="6"/>
      <c r="R455" s="4"/>
      <c r="S455" s="4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4"/>
      <c r="G456" s="4"/>
      <c r="H456" s="5"/>
      <c r="I456" s="5"/>
      <c r="J456" s="5"/>
      <c r="K456" s="2"/>
      <c r="L456" s="2"/>
      <c r="M456" s="2"/>
      <c r="N456" s="6"/>
      <c r="O456" s="6"/>
      <c r="P456" s="6"/>
      <c r="Q456" s="6"/>
      <c r="R456" s="4"/>
      <c r="S456" s="4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4"/>
      <c r="G457" s="4"/>
      <c r="H457" s="5"/>
      <c r="I457" s="5"/>
      <c r="J457" s="5"/>
      <c r="K457" s="2"/>
      <c r="L457" s="2"/>
      <c r="M457" s="2"/>
      <c r="N457" s="6"/>
      <c r="O457" s="6"/>
      <c r="P457" s="6"/>
      <c r="Q457" s="6"/>
      <c r="R457" s="4"/>
      <c r="S457" s="4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4"/>
      <c r="G458" s="4"/>
      <c r="H458" s="5"/>
      <c r="I458" s="5"/>
      <c r="J458" s="5"/>
      <c r="K458" s="2"/>
      <c r="L458" s="2"/>
      <c r="M458" s="2"/>
      <c r="N458" s="6"/>
      <c r="O458" s="6"/>
      <c r="P458" s="6"/>
      <c r="Q458" s="6"/>
      <c r="R458" s="4"/>
      <c r="S458" s="4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4"/>
      <c r="G459" s="4"/>
      <c r="H459" s="5"/>
      <c r="I459" s="5"/>
      <c r="J459" s="5"/>
      <c r="K459" s="2"/>
      <c r="L459" s="2"/>
      <c r="M459" s="2"/>
      <c r="N459" s="6"/>
      <c r="O459" s="6"/>
      <c r="P459" s="6"/>
      <c r="Q459" s="6"/>
      <c r="R459" s="4"/>
      <c r="S459" s="4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4"/>
      <c r="G460" s="4"/>
      <c r="H460" s="5"/>
      <c r="I460" s="5"/>
      <c r="J460" s="5"/>
      <c r="K460" s="2"/>
      <c r="L460" s="2"/>
      <c r="M460" s="2"/>
      <c r="N460" s="6"/>
      <c r="O460" s="6"/>
      <c r="P460" s="6"/>
      <c r="Q460" s="6"/>
      <c r="R460" s="4"/>
      <c r="S460" s="4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4"/>
      <c r="G461" s="4"/>
      <c r="H461" s="5"/>
      <c r="I461" s="5"/>
      <c r="J461" s="5"/>
      <c r="K461" s="2"/>
      <c r="L461" s="2"/>
      <c r="M461" s="2"/>
      <c r="N461" s="6"/>
      <c r="O461" s="6"/>
      <c r="P461" s="6"/>
      <c r="Q461" s="6"/>
      <c r="R461" s="4"/>
      <c r="S461" s="4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4"/>
      <c r="G462" s="4"/>
      <c r="H462" s="5"/>
      <c r="I462" s="5"/>
      <c r="J462" s="5"/>
      <c r="K462" s="2"/>
      <c r="L462" s="2"/>
      <c r="M462" s="2"/>
      <c r="N462" s="6"/>
      <c r="O462" s="6"/>
      <c r="P462" s="6"/>
      <c r="Q462" s="6"/>
      <c r="R462" s="4"/>
      <c r="S462" s="4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4"/>
      <c r="G463" s="4"/>
      <c r="H463" s="5"/>
      <c r="I463" s="5"/>
      <c r="J463" s="5"/>
      <c r="K463" s="2"/>
      <c r="L463" s="2"/>
      <c r="M463" s="2"/>
      <c r="N463" s="6"/>
      <c r="O463" s="6"/>
      <c r="P463" s="6"/>
      <c r="Q463" s="6"/>
      <c r="R463" s="4"/>
      <c r="S463" s="4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4"/>
      <c r="G464" s="4"/>
      <c r="H464" s="5"/>
      <c r="I464" s="5"/>
      <c r="J464" s="5"/>
      <c r="K464" s="2"/>
      <c r="L464" s="2"/>
      <c r="M464" s="2"/>
      <c r="N464" s="6"/>
      <c r="O464" s="6"/>
      <c r="P464" s="6"/>
      <c r="Q464" s="6"/>
      <c r="R464" s="4"/>
      <c r="S464" s="4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4"/>
      <c r="G465" s="4"/>
      <c r="H465" s="5"/>
      <c r="I465" s="5"/>
      <c r="J465" s="5"/>
      <c r="K465" s="2"/>
      <c r="L465" s="2"/>
      <c r="M465" s="2"/>
      <c r="N465" s="6"/>
      <c r="O465" s="6"/>
      <c r="P465" s="6"/>
      <c r="Q465" s="6"/>
      <c r="R465" s="4"/>
      <c r="S465" s="4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4"/>
      <c r="G466" s="4"/>
      <c r="H466" s="5"/>
      <c r="I466" s="5"/>
      <c r="J466" s="5"/>
      <c r="K466" s="2"/>
      <c r="L466" s="2"/>
      <c r="M466" s="2"/>
      <c r="N466" s="6"/>
      <c r="O466" s="6"/>
      <c r="P466" s="6"/>
      <c r="Q466" s="6"/>
      <c r="R466" s="4"/>
      <c r="S466" s="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4"/>
      <c r="G467" s="4"/>
      <c r="H467" s="5"/>
      <c r="I467" s="5"/>
      <c r="J467" s="5"/>
      <c r="K467" s="2"/>
      <c r="L467" s="2"/>
      <c r="M467" s="2"/>
      <c r="N467" s="6"/>
      <c r="O467" s="6"/>
      <c r="P467" s="6"/>
      <c r="Q467" s="6"/>
      <c r="R467" s="4"/>
      <c r="S467" s="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4"/>
      <c r="G468" s="4"/>
      <c r="H468" s="5"/>
      <c r="I468" s="5"/>
      <c r="J468" s="5"/>
      <c r="K468" s="2"/>
      <c r="L468" s="2"/>
      <c r="M468" s="2"/>
      <c r="N468" s="6"/>
      <c r="O468" s="6"/>
      <c r="P468" s="6"/>
      <c r="Q468" s="6"/>
      <c r="R468" s="4"/>
      <c r="S468" s="4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4"/>
      <c r="G469" s="4"/>
      <c r="H469" s="5"/>
      <c r="I469" s="5"/>
      <c r="J469" s="5"/>
      <c r="K469" s="2"/>
      <c r="L469" s="2"/>
      <c r="M469" s="2"/>
      <c r="N469" s="6"/>
      <c r="O469" s="6"/>
      <c r="P469" s="6"/>
      <c r="Q469" s="6"/>
      <c r="R469" s="4"/>
      <c r="S469" s="4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4"/>
      <c r="G470" s="4"/>
      <c r="H470" s="5"/>
      <c r="I470" s="5"/>
      <c r="J470" s="5"/>
      <c r="K470" s="2"/>
      <c r="L470" s="2"/>
      <c r="M470" s="2"/>
      <c r="N470" s="6"/>
      <c r="O470" s="6"/>
      <c r="P470" s="6"/>
      <c r="Q470" s="6"/>
      <c r="R470" s="4"/>
      <c r="S470" s="4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4"/>
      <c r="G471" s="4"/>
      <c r="H471" s="5"/>
      <c r="I471" s="5"/>
      <c r="J471" s="5"/>
      <c r="K471" s="2"/>
      <c r="L471" s="2"/>
      <c r="M471" s="2"/>
      <c r="N471" s="6"/>
      <c r="O471" s="6"/>
      <c r="P471" s="6"/>
      <c r="Q471" s="6"/>
      <c r="R471" s="4"/>
      <c r="S471" s="4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4"/>
      <c r="G472" s="4"/>
      <c r="H472" s="5"/>
      <c r="I472" s="5"/>
      <c r="J472" s="5"/>
      <c r="K472" s="2"/>
      <c r="L472" s="2"/>
      <c r="M472" s="2"/>
      <c r="N472" s="6"/>
      <c r="O472" s="6"/>
      <c r="P472" s="6"/>
      <c r="Q472" s="6"/>
      <c r="R472" s="4"/>
      <c r="S472" s="4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4"/>
      <c r="G473" s="4"/>
      <c r="H473" s="5"/>
      <c r="I473" s="5"/>
      <c r="J473" s="5"/>
      <c r="K473" s="2"/>
      <c r="L473" s="2"/>
      <c r="M473" s="2"/>
      <c r="N473" s="6"/>
      <c r="O473" s="6"/>
      <c r="P473" s="6"/>
      <c r="Q473" s="6"/>
      <c r="R473" s="4"/>
      <c r="S473" s="4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4"/>
      <c r="G474" s="4"/>
      <c r="H474" s="5"/>
      <c r="I474" s="5"/>
      <c r="J474" s="5"/>
      <c r="K474" s="2"/>
      <c r="L474" s="2"/>
      <c r="M474" s="2"/>
      <c r="N474" s="6"/>
      <c r="O474" s="6"/>
      <c r="P474" s="6"/>
      <c r="Q474" s="6"/>
      <c r="R474" s="4"/>
      <c r="S474" s="4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4"/>
      <c r="G475" s="4"/>
      <c r="H475" s="5"/>
      <c r="I475" s="5"/>
      <c r="J475" s="5"/>
      <c r="K475" s="2"/>
      <c r="L475" s="2"/>
      <c r="M475" s="2"/>
      <c r="N475" s="6"/>
      <c r="O475" s="6"/>
      <c r="P475" s="6"/>
      <c r="Q475" s="6"/>
      <c r="R475" s="4"/>
      <c r="S475" s="4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4"/>
      <c r="G476" s="4"/>
      <c r="H476" s="5"/>
      <c r="I476" s="5"/>
      <c r="J476" s="5"/>
      <c r="K476" s="2"/>
      <c r="L476" s="2"/>
      <c r="M476" s="2"/>
      <c r="N476" s="6"/>
      <c r="O476" s="6"/>
      <c r="P476" s="6"/>
      <c r="Q476" s="6"/>
      <c r="R476" s="4"/>
      <c r="S476" s="4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4"/>
      <c r="G477" s="4"/>
      <c r="H477" s="5"/>
      <c r="I477" s="5"/>
      <c r="J477" s="5"/>
      <c r="K477" s="2"/>
      <c r="L477" s="2"/>
      <c r="M477" s="2"/>
      <c r="N477" s="6"/>
      <c r="O477" s="6"/>
      <c r="P477" s="6"/>
      <c r="Q477" s="6"/>
      <c r="R477" s="4"/>
      <c r="S477" s="4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4"/>
      <c r="G478" s="4"/>
      <c r="H478" s="5"/>
      <c r="I478" s="5"/>
      <c r="J478" s="5"/>
      <c r="K478" s="2"/>
      <c r="L478" s="2"/>
      <c r="M478" s="2"/>
      <c r="N478" s="6"/>
      <c r="O478" s="6"/>
      <c r="P478" s="6"/>
      <c r="Q478" s="6"/>
      <c r="R478" s="4"/>
      <c r="S478" s="4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4"/>
      <c r="G479" s="4"/>
      <c r="H479" s="5"/>
      <c r="I479" s="5"/>
      <c r="J479" s="5"/>
      <c r="K479" s="2"/>
      <c r="L479" s="2"/>
      <c r="M479" s="2"/>
      <c r="N479" s="6"/>
      <c r="O479" s="6"/>
      <c r="P479" s="6"/>
      <c r="Q479" s="6"/>
      <c r="R479" s="4"/>
      <c r="S479" s="4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4"/>
      <c r="G480" s="4"/>
      <c r="H480" s="5"/>
      <c r="I480" s="5"/>
      <c r="J480" s="5"/>
      <c r="K480" s="2"/>
      <c r="L480" s="2"/>
      <c r="M480" s="2"/>
      <c r="N480" s="6"/>
      <c r="O480" s="6"/>
      <c r="P480" s="6"/>
      <c r="Q480" s="6"/>
      <c r="R480" s="4"/>
      <c r="S480" s="4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4"/>
      <c r="G481" s="4"/>
      <c r="H481" s="5"/>
      <c r="I481" s="5"/>
      <c r="J481" s="5"/>
      <c r="K481" s="2"/>
      <c r="L481" s="2"/>
      <c r="M481" s="2"/>
      <c r="N481" s="6"/>
      <c r="O481" s="6"/>
      <c r="P481" s="6"/>
      <c r="Q481" s="6"/>
      <c r="R481" s="4"/>
      <c r="S481" s="4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4"/>
      <c r="G482" s="4"/>
      <c r="H482" s="5"/>
      <c r="I482" s="5"/>
      <c r="J482" s="5"/>
      <c r="K482" s="2"/>
      <c r="L482" s="2"/>
      <c r="M482" s="2"/>
      <c r="N482" s="6"/>
      <c r="O482" s="6"/>
      <c r="P482" s="6"/>
      <c r="Q482" s="6"/>
      <c r="R482" s="4"/>
      <c r="S482" s="4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4"/>
      <c r="G483" s="4"/>
      <c r="H483" s="5"/>
      <c r="I483" s="5"/>
      <c r="J483" s="5"/>
      <c r="K483" s="2"/>
      <c r="L483" s="2"/>
      <c r="M483" s="2"/>
      <c r="N483" s="6"/>
      <c r="O483" s="6"/>
      <c r="P483" s="6"/>
      <c r="Q483" s="6"/>
      <c r="R483" s="4"/>
      <c r="S483" s="4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4"/>
      <c r="G484" s="4"/>
      <c r="H484" s="5"/>
      <c r="I484" s="5"/>
      <c r="J484" s="5"/>
      <c r="K484" s="2"/>
      <c r="L484" s="2"/>
      <c r="M484" s="2"/>
      <c r="N484" s="6"/>
      <c r="O484" s="6"/>
      <c r="P484" s="6"/>
      <c r="Q484" s="6"/>
      <c r="R484" s="4"/>
      <c r="S484" s="4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4"/>
      <c r="G485" s="4"/>
      <c r="H485" s="5"/>
      <c r="I485" s="5"/>
      <c r="J485" s="5"/>
      <c r="K485" s="2"/>
      <c r="L485" s="2"/>
      <c r="M485" s="2"/>
      <c r="N485" s="6"/>
      <c r="O485" s="6"/>
      <c r="P485" s="6"/>
      <c r="Q485" s="6"/>
      <c r="R485" s="4"/>
      <c r="S485" s="4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4"/>
      <c r="G486" s="4"/>
      <c r="H486" s="5"/>
      <c r="I486" s="5"/>
      <c r="J486" s="5"/>
      <c r="K486" s="2"/>
      <c r="L486" s="2"/>
      <c r="M486" s="2"/>
      <c r="N486" s="6"/>
      <c r="O486" s="6"/>
      <c r="P486" s="6"/>
      <c r="Q486" s="6"/>
      <c r="R486" s="4"/>
      <c r="S486" s="4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4"/>
      <c r="G487" s="4"/>
      <c r="H487" s="5"/>
      <c r="I487" s="5"/>
      <c r="J487" s="5"/>
      <c r="K487" s="2"/>
      <c r="L487" s="2"/>
      <c r="M487" s="2"/>
      <c r="N487" s="6"/>
      <c r="O487" s="6"/>
      <c r="P487" s="6"/>
      <c r="Q487" s="6"/>
      <c r="R487" s="4"/>
      <c r="S487" s="4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4"/>
      <c r="G488" s="4"/>
      <c r="H488" s="5"/>
      <c r="I488" s="5"/>
      <c r="J488" s="5"/>
      <c r="K488" s="2"/>
      <c r="L488" s="2"/>
      <c r="M488" s="2"/>
      <c r="N488" s="6"/>
      <c r="O488" s="6"/>
      <c r="P488" s="6"/>
      <c r="Q488" s="6"/>
      <c r="R488" s="4"/>
      <c r="S488" s="4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4"/>
      <c r="G489" s="4"/>
      <c r="H489" s="5"/>
      <c r="I489" s="5"/>
      <c r="J489" s="5"/>
      <c r="K489" s="2"/>
      <c r="L489" s="2"/>
      <c r="M489" s="2"/>
      <c r="N489" s="6"/>
      <c r="O489" s="6"/>
      <c r="P489" s="6"/>
      <c r="Q489" s="6"/>
      <c r="R489" s="4"/>
      <c r="S489" s="4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4"/>
      <c r="G490" s="4"/>
      <c r="H490" s="5"/>
      <c r="I490" s="5"/>
      <c r="J490" s="5"/>
      <c r="K490" s="2"/>
      <c r="L490" s="2"/>
      <c r="M490" s="2"/>
      <c r="N490" s="6"/>
      <c r="O490" s="6"/>
      <c r="P490" s="6"/>
      <c r="Q490" s="6"/>
      <c r="R490" s="4"/>
      <c r="S490" s="4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4"/>
      <c r="G491" s="4"/>
      <c r="H491" s="5"/>
      <c r="I491" s="5"/>
      <c r="J491" s="5"/>
      <c r="K491" s="2"/>
      <c r="L491" s="2"/>
      <c r="M491" s="2"/>
      <c r="N491" s="6"/>
      <c r="O491" s="6"/>
      <c r="P491" s="6"/>
      <c r="Q491" s="6"/>
      <c r="R491" s="4"/>
      <c r="S491" s="4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4"/>
      <c r="G492" s="4"/>
      <c r="H492" s="5"/>
      <c r="I492" s="5"/>
      <c r="J492" s="5"/>
      <c r="K492" s="2"/>
      <c r="L492" s="2"/>
      <c r="M492" s="2"/>
      <c r="N492" s="6"/>
      <c r="O492" s="6"/>
      <c r="P492" s="6"/>
      <c r="Q492" s="6"/>
      <c r="R492" s="4"/>
      <c r="S492" s="4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4"/>
      <c r="G493" s="4"/>
      <c r="H493" s="5"/>
      <c r="I493" s="5"/>
      <c r="J493" s="5"/>
      <c r="K493" s="2"/>
      <c r="L493" s="2"/>
      <c r="M493" s="2"/>
      <c r="N493" s="6"/>
      <c r="O493" s="6"/>
      <c r="P493" s="6"/>
      <c r="Q493" s="6"/>
      <c r="R493" s="4"/>
      <c r="S493" s="4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4"/>
      <c r="G494" s="4"/>
      <c r="H494" s="5"/>
      <c r="I494" s="5"/>
      <c r="J494" s="5"/>
      <c r="K494" s="2"/>
      <c r="L494" s="2"/>
      <c r="M494" s="2"/>
      <c r="N494" s="6"/>
      <c r="O494" s="6"/>
      <c r="P494" s="6"/>
      <c r="Q494" s="6"/>
      <c r="R494" s="4"/>
      <c r="S494" s="4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4"/>
      <c r="G495" s="4"/>
      <c r="H495" s="5"/>
      <c r="I495" s="5"/>
      <c r="J495" s="5"/>
      <c r="K495" s="2"/>
      <c r="L495" s="2"/>
      <c r="M495" s="2"/>
      <c r="N495" s="6"/>
      <c r="O495" s="6"/>
      <c r="P495" s="6"/>
      <c r="Q495" s="6"/>
      <c r="R495" s="4"/>
      <c r="S495" s="4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4"/>
      <c r="G496" s="4"/>
      <c r="H496" s="5"/>
      <c r="I496" s="5"/>
      <c r="J496" s="5"/>
      <c r="K496" s="2"/>
      <c r="L496" s="2"/>
      <c r="M496" s="2"/>
      <c r="N496" s="6"/>
      <c r="O496" s="6"/>
      <c r="P496" s="6"/>
      <c r="Q496" s="6"/>
      <c r="R496" s="4"/>
      <c r="S496" s="4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4"/>
      <c r="G497" s="4"/>
      <c r="H497" s="5"/>
      <c r="I497" s="5"/>
      <c r="J497" s="5"/>
      <c r="K497" s="2"/>
      <c r="L497" s="2"/>
      <c r="M497" s="2"/>
      <c r="N497" s="6"/>
      <c r="O497" s="6"/>
      <c r="P497" s="6"/>
      <c r="Q497" s="6"/>
      <c r="R497" s="4"/>
      <c r="S497" s="4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4"/>
      <c r="G498" s="4"/>
      <c r="H498" s="5"/>
      <c r="I498" s="5"/>
      <c r="J498" s="5"/>
      <c r="K498" s="2"/>
      <c r="L498" s="2"/>
      <c r="M498" s="2"/>
      <c r="N498" s="6"/>
      <c r="O498" s="6"/>
      <c r="P498" s="6"/>
      <c r="Q498" s="6"/>
      <c r="R498" s="4"/>
      <c r="S498" s="4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4"/>
      <c r="G499" s="4"/>
      <c r="H499" s="5"/>
      <c r="I499" s="5"/>
      <c r="J499" s="5"/>
      <c r="K499" s="2"/>
      <c r="L499" s="2"/>
      <c r="M499" s="2"/>
      <c r="N499" s="6"/>
      <c r="O499" s="6"/>
      <c r="P499" s="6"/>
      <c r="Q499" s="6"/>
      <c r="R499" s="4"/>
      <c r="S499" s="4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4"/>
      <c r="G500" s="4"/>
      <c r="H500" s="5"/>
      <c r="I500" s="5"/>
      <c r="J500" s="5"/>
      <c r="K500" s="2"/>
      <c r="L500" s="2"/>
      <c r="M500" s="2"/>
      <c r="N500" s="6"/>
      <c r="O500" s="6"/>
      <c r="P500" s="6"/>
      <c r="Q500" s="6"/>
      <c r="R500" s="4"/>
      <c r="S500" s="4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4"/>
      <c r="G501" s="4"/>
      <c r="H501" s="5"/>
      <c r="I501" s="5"/>
      <c r="J501" s="5"/>
      <c r="K501" s="2"/>
      <c r="L501" s="2"/>
      <c r="M501" s="2"/>
      <c r="N501" s="6"/>
      <c r="O501" s="6"/>
      <c r="P501" s="6"/>
      <c r="Q501" s="6"/>
      <c r="R501" s="4"/>
      <c r="S501" s="4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4"/>
      <c r="G502" s="4"/>
      <c r="H502" s="5"/>
      <c r="I502" s="5"/>
      <c r="J502" s="5"/>
      <c r="K502" s="2"/>
      <c r="L502" s="2"/>
      <c r="M502" s="2"/>
      <c r="N502" s="6"/>
      <c r="O502" s="6"/>
      <c r="P502" s="6"/>
      <c r="Q502" s="6"/>
      <c r="R502" s="4"/>
      <c r="S502" s="4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4"/>
      <c r="G503" s="4"/>
      <c r="H503" s="5"/>
      <c r="I503" s="5"/>
      <c r="J503" s="5"/>
      <c r="K503" s="2"/>
      <c r="L503" s="2"/>
      <c r="M503" s="2"/>
      <c r="N503" s="6"/>
      <c r="O503" s="6"/>
      <c r="P503" s="6"/>
      <c r="Q503" s="6"/>
      <c r="R503" s="4"/>
      <c r="S503" s="4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4"/>
      <c r="G504" s="4"/>
      <c r="H504" s="5"/>
      <c r="I504" s="5"/>
      <c r="J504" s="5"/>
      <c r="K504" s="2"/>
      <c r="L504" s="2"/>
      <c r="M504" s="2"/>
      <c r="N504" s="6"/>
      <c r="O504" s="6"/>
      <c r="P504" s="6"/>
      <c r="Q504" s="6"/>
      <c r="R504" s="4"/>
      <c r="S504" s="4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4"/>
      <c r="G505" s="4"/>
      <c r="H505" s="5"/>
      <c r="I505" s="5"/>
      <c r="J505" s="5"/>
      <c r="K505" s="2"/>
      <c r="L505" s="2"/>
      <c r="M505" s="2"/>
      <c r="N505" s="6"/>
      <c r="O505" s="6"/>
      <c r="P505" s="6"/>
      <c r="Q505" s="6"/>
      <c r="R505" s="4"/>
      <c r="S505" s="4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4"/>
      <c r="G506" s="4"/>
      <c r="H506" s="5"/>
      <c r="I506" s="5"/>
      <c r="J506" s="5"/>
      <c r="K506" s="2"/>
      <c r="L506" s="2"/>
      <c r="M506" s="2"/>
      <c r="N506" s="6"/>
      <c r="O506" s="6"/>
      <c r="P506" s="6"/>
      <c r="Q506" s="6"/>
      <c r="R506" s="4"/>
      <c r="S506" s="4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4"/>
      <c r="G507" s="4"/>
      <c r="H507" s="5"/>
      <c r="I507" s="5"/>
      <c r="J507" s="5"/>
      <c r="K507" s="2"/>
      <c r="L507" s="2"/>
      <c r="M507" s="2"/>
      <c r="N507" s="6"/>
      <c r="O507" s="6"/>
      <c r="P507" s="6"/>
      <c r="Q507" s="6"/>
      <c r="R507" s="4"/>
      <c r="S507" s="4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4"/>
      <c r="G508" s="4"/>
      <c r="H508" s="5"/>
      <c r="I508" s="5"/>
      <c r="J508" s="5"/>
      <c r="K508" s="2"/>
      <c r="L508" s="2"/>
      <c r="M508" s="2"/>
      <c r="N508" s="6"/>
      <c r="O508" s="6"/>
      <c r="P508" s="6"/>
      <c r="Q508" s="6"/>
      <c r="R508" s="4"/>
      <c r="S508" s="4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4"/>
      <c r="G509" s="4"/>
      <c r="H509" s="5"/>
      <c r="I509" s="5"/>
      <c r="J509" s="5"/>
      <c r="K509" s="2"/>
      <c r="L509" s="2"/>
      <c r="M509" s="2"/>
      <c r="N509" s="6"/>
      <c r="O509" s="6"/>
      <c r="P509" s="6"/>
      <c r="Q509" s="6"/>
      <c r="R509" s="4"/>
      <c r="S509" s="4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4"/>
      <c r="G510" s="4"/>
      <c r="H510" s="5"/>
      <c r="I510" s="5"/>
      <c r="J510" s="5"/>
      <c r="K510" s="2"/>
      <c r="L510" s="2"/>
      <c r="M510" s="2"/>
      <c r="N510" s="6"/>
      <c r="O510" s="6"/>
      <c r="P510" s="6"/>
      <c r="Q510" s="6"/>
      <c r="R510" s="4"/>
      <c r="S510" s="4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4"/>
      <c r="G511" s="4"/>
      <c r="H511" s="5"/>
      <c r="I511" s="5"/>
      <c r="J511" s="5"/>
      <c r="K511" s="2"/>
      <c r="L511" s="2"/>
      <c r="M511" s="2"/>
      <c r="N511" s="6"/>
      <c r="O511" s="6"/>
      <c r="P511" s="6"/>
      <c r="Q511" s="6"/>
      <c r="R511" s="4"/>
      <c r="S511" s="4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4"/>
      <c r="G512" s="4"/>
      <c r="H512" s="5"/>
      <c r="I512" s="5"/>
      <c r="J512" s="5"/>
      <c r="K512" s="2"/>
      <c r="L512" s="2"/>
      <c r="M512" s="2"/>
      <c r="N512" s="6"/>
      <c r="O512" s="6"/>
      <c r="P512" s="6"/>
      <c r="Q512" s="6"/>
      <c r="R512" s="4"/>
      <c r="S512" s="4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4"/>
      <c r="G513" s="4"/>
      <c r="H513" s="5"/>
      <c r="I513" s="5"/>
      <c r="J513" s="5"/>
      <c r="K513" s="2"/>
      <c r="L513" s="2"/>
      <c r="M513" s="2"/>
      <c r="N513" s="6"/>
      <c r="O513" s="6"/>
      <c r="P513" s="6"/>
      <c r="Q513" s="6"/>
      <c r="R513" s="4"/>
      <c r="S513" s="4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4"/>
      <c r="G514" s="4"/>
      <c r="H514" s="5"/>
      <c r="I514" s="5"/>
      <c r="J514" s="5"/>
      <c r="K514" s="2"/>
      <c r="L514" s="2"/>
      <c r="M514" s="2"/>
      <c r="N514" s="6"/>
      <c r="O514" s="6"/>
      <c r="P514" s="6"/>
      <c r="Q514" s="6"/>
      <c r="R514" s="4"/>
      <c r="S514" s="4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4"/>
      <c r="G515" s="4"/>
      <c r="H515" s="5"/>
      <c r="I515" s="5"/>
      <c r="J515" s="5"/>
      <c r="K515" s="2"/>
      <c r="L515" s="2"/>
      <c r="M515" s="2"/>
      <c r="N515" s="6"/>
      <c r="O515" s="6"/>
      <c r="P515" s="6"/>
      <c r="Q515" s="6"/>
      <c r="R515" s="4"/>
      <c r="S515" s="4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4"/>
      <c r="G516" s="4"/>
      <c r="H516" s="5"/>
      <c r="I516" s="5"/>
      <c r="J516" s="5"/>
      <c r="K516" s="2"/>
      <c r="L516" s="2"/>
      <c r="M516" s="2"/>
      <c r="N516" s="6"/>
      <c r="O516" s="6"/>
      <c r="P516" s="6"/>
      <c r="Q516" s="6"/>
      <c r="R516" s="4"/>
      <c r="S516" s="4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4"/>
      <c r="G517" s="4"/>
      <c r="H517" s="5"/>
      <c r="I517" s="5"/>
      <c r="J517" s="5"/>
      <c r="K517" s="2"/>
      <c r="L517" s="2"/>
      <c r="M517" s="2"/>
      <c r="N517" s="6"/>
      <c r="O517" s="6"/>
      <c r="P517" s="6"/>
      <c r="Q517" s="6"/>
      <c r="R517" s="4"/>
      <c r="S517" s="4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4"/>
      <c r="G518" s="4"/>
      <c r="H518" s="5"/>
      <c r="I518" s="5"/>
      <c r="J518" s="5"/>
      <c r="K518" s="2"/>
      <c r="L518" s="2"/>
      <c r="M518" s="2"/>
      <c r="N518" s="6"/>
      <c r="O518" s="6"/>
      <c r="P518" s="6"/>
      <c r="Q518" s="6"/>
      <c r="R518" s="4"/>
      <c r="S518" s="4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4"/>
      <c r="G519" s="4"/>
      <c r="H519" s="5"/>
      <c r="I519" s="5"/>
      <c r="J519" s="5"/>
      <c r="K519" s="2"/>
      <c r="L519" s="2"/>
      <c r="M519" s="2"/>
      <c r="N519" s="6"/>
      <c r="O519" s="6"/>
      <c r="P519" s="6"/>
      <c r="Q519" s="6"/>
      <c r="R519" s="4"/>
      <c r="S519" s="4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4"/>
      <c r="G520" s="4"/>
      <c r="H520" s="5"/>
      <c r="I520" s="5"/>
      <c r="J520" s="5"/>
      <c r="K520" s="2"/>
      <c r="L520" s="2"/>
      <c r="M520" s="2"/>
      <c r="N520" s="6"/>
      <c r="O520" s="6"/>
      <c r="P520" s="6"/>
      <c r="Q520" s="6"/>
      <c r="R520" s="4"/>
      <c r="S520" s="4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4"/>
      <c r="G521" s="4"/>
      <c r="H521" s="5"/>
      <c r="I521" s="5"/>
      <c r="J521" s="5"/>
      <c r="K521" s="2"/>
      <c r="L521" s="2"/>
      <c r="M521" s="2"/>
      <c r="N521" s="6"/>
      <c r="O521" s="6"/>
      <c r="P521" s="6"/>
      <c r="Q521" s="6"/>
      <c r="R521" s="4"/>
      <c r="S521" s="4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4"/>
      <c r="G522" s="4"/>
      <c r="H522" s="5"/>
      <c r="I522" s="5"/>
      <c r="J522" s="5"/>
      <c r="K522" s="2"/>
      <c r="L522" s="2"/>
      <c r="M522" s="2"/>
      <c r="N522" s="6"/>
      <c r="O522" s="6"/>
      <c r="P522" s="6"/>
      <c r="Q522" s="6"/>
      <c r="R522" s="4"/>
      <c r="S522" s="4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4"/>
      <c r="G523" s="4"/>
      <c r="H523" s="5"/>
      <c r="I523" s="5"/>
      <c r="J523" s="5"/>
      <c r="K523" s="2"/>
      <c r="L523" s="2"/>
      <c r="M523" s="2"/>
      <c r="N523" s="6"/>
      <c r="O523" s="6"/>
      <c r="P523" s="6"/>
      <c r="Q523" s="6"/>
      <c r="R523" s="4"/>
      <c r="S523" s="4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4"/>
      <c r="G524" s="4"/>
      <c r="H524" s="5"/>
      <c r="I524" s="5"/>
      <c r="J524" s="5"/>
      <c r="K524" s="2"/>
      <c r="L524" s="2"/>
      <c r="M524" s="2"/>
      <c r="N524" s="6"/>
      <c r="O524" s="6"/>
      <c r="P524" s="6"/>
      <c r="Q524" s="6"/>
      <c r="R524" s="4"/>
      <c r="S524" s="4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4"/>
      <c r="G525" s="4"/>
      <c r="H525" s="5"/>
      <c r="I525" s="5"/>
      <c r="J525" s="5"/>
      <c r="K525" s="2"/>
      <c r="L525" s="2"/>
      <c r="M525" s="2"/>
      <c r="N525" s="6"/>
      <c r="O525" s="6"/>
      <c r="P525" s="6"/>
      <c r="Q525" s="6"/>
      <c r="R525" s="4"/>
      <c r="S525" s="4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4"/>
      <c r="G526" s="4"/>
      <c r="H526" s="5"/>
      <c r="I526" s="5"/>
      <c r="J526" s="5"/>
      <c r="K526" s="2"/>
      <c r="L526" s="2"/>
      <c r="M526" s="2"/>
      <c r="N526" s="6"/>
      <c r="O526" s="6"/>
      <c r="P526" s="6"/>
      <c r="Q526" s="6"/>
      <c r="R526" s="4"/>
      <c r="S526" s="4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4"/>
      <c r="G527" s="4"/>
      <c r="H527" s="5"/>
      <c r="I527" s="5"/>
      <c r="J527" s="5"/>
      <c r="K527" s="2"/>
      <c r="L527" s="2"/>
      <c r="M527" s="2"/>
      <c r="N527" s="6"/>
      <c r="O527" s="6"/>
      <c r="P527" s="6"/>
      <c r="Q527" s="6"/>
      <c r="R527" s="4"/>
      <c r="S527" s="4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4"/>
      <c r="G528" s="4"/>
      <c r="H528" s="5"/>
      <c r="I528" s="5"/>
      <c r="J528" s="5"/>
      <c r="K528" s="2"/>
      <c r="L528" s="2"/>
      <c r="M528" s="2"/>
      <c r="N528" s="6"/>
      <c r="O528" s="6"/>
      <c r="P528" s="6"/>
      <c r="Q528" s="6"/>
      <c r="R528" s="4"/>
      <c r="S528" s="4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4"/>
      <c r="G529" s="4"/>
      <c r="H529" s="5"/>
      <c r="I529" s="5"/>
      <c r="J529" s="5"/>
      <c r="K529" s="2"/>
      <c r="L529" s="2"/>
      <c r="M529" s="2"/>
      <c r="N529" s="6"/>
      <c r="O529" s="6"/>
      <c r="P529" s="6"/>
      <c r="Q529" s="6"/>
      <c r="R529" s="4"/>
      <c r="S529" s="4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4"/>
      <c r="G530" s="4"/>
      <c r="H530" s="5"/>
      <c r="I530" s="5"/>
      <c r="J530" s="5"/>
      <c r="K530" s="2"/>
      <c r="L530" s="2"/>
      <c r="M530" s="2"/>
      <c r="N530" s="6"/>
      <c r="O530" s="6"/>
      <c r="P530" s="6"/>
      <c r="Q530" s="6"/>
      <c r="R530" s="4"/>
      <c r="S530" s="4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4"/>
      <c r="G531" s="4"/>
      <c r="H531" s="5"/>
      <c r="I531" s="5"/>
      <c r="J531" s="5"/>
      <c r="K531" s="2"/>
      <c r="L531" s="2"/>
      <c r="M531" s="2"/>
      <c r="N531" s="6"/>
      <c r="O531" s="6"/>
      <c r="P531" s="6"/>
      <c r="Q531" s="6"/>
      <c r="R531" s="4"/>
      <c r="S531" s="4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4"/>
      <c r="G532" s="4"/>
      <c r="H532" s="5"/>
      <c r="I532" s="5"/>
      <c r="J532" s="5"/>
      <c r="K532" s="2"/>
      <c r="L532" s="2"/>
      <c r="M532" s="2"/>
      <c r="N532" s="6"/>
      <c r="O532" s="6"/>
      <c r="P532" s="6"/>
      <c r="Q532" s="6"/>
      <c r="R532" s="4"/>
      <c r="S532" s="4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4"/>
      <c r="G533" s="4"/>
      <c r="H533" s="5"/>
      <c r="I533" s="5"/>
      <c r="J533" s="5"/>
      <c r="K533" s="2"/>
      <c r="L533" s="2"/>
      <c r="M533" s="2"/>
      <c r="N533" s="6"/>
      <c r="O533" s="6"/>
      <c r="P533" s="6"/>
      <c r="Q533" s="6"/>
      <c r="R533" s="4"/>
      <c r="S533" s="4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4"/>
      <c r="G534" s="4"/>
      <c r="H534" s="5"/>
      <c r="I534" s="5"/>
      <c r="J534" s="5"/>
      <c r="K534" s="2"/>
      <c r="L534" s="2"/>
      <c r="M534" s="2"/>
      <c r="N534" s="6"/>
      <c r="O534" s="6"/>
      <c r="P534" s="6"/>
      <c r="Q534" s="6"/>
      <c r="R534" s="4"/>
      <c r="S534" s="4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4"/>
      <c r="G535" s="4"/>
      <c r="H535" s="5"/>
      <c r="I535" s="5"/>
      <c r="J535" s="5"/>
      <c r="K535" s="2"/>
      <c r="L535" s="2"/>
      <c r="M535" s="2"/>
      <c r="N535" s="6"/>
      <c r="O535" s="6"/>
      <c r="P535" s="6"/>
      <c r="Q535" s="6"/>
      <c r="R535" s="4"/>
      <c r="S535" s="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4"/>
      <c r="G536" s="4"/>
      <c r="H536" s="5"/>
      <c r="I536" s="5"/>
      <c r="J536" s="5"/>
      <c r="K536" s="2"/>
      <c r="L536" s="2"/>
      <c r="M536" s="2"/>
      <c r="N536" s="6"/>
      <c r="O536" s="6"/>
      <c r="P536" s="6"/>
      <c r="Q536" s="6"/>
      <c r="R536" s="4"/>
      <c r="S536" s="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4"/>
      <c r="G537" s="4"/>
      <c r="H537" s="5"/>
      <c r="I537" s="5"/>
      <c r="J537" s="5"/>
      <c r="K537" s="2"/>
      <c r="L537" s="2"/>
      <c r="M537" s="2"/>
      <c r="N537" s="6"/>
      <c r="O537" s="6"/>
      <c r="P537" s="6"/>
      <c r="Q537" s="6"/>
      <c r="R537" s="4"/>
      <c r="S537" s="4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4"/>
      <c r="G538" s="4"/>
      <c r="H538" s="5"/>
      <c r="I538" s="5"/>
      <c r="J538" s="5"/>
      <c r="K538" s="2"/>
      <c r="L538" s="2"/>
      <c r="M538" s="2"/>
      <c r="N538" s="6"/>
      <c r="O538" s="6"/>
      <c r="P538" s="6"/>
      <c r="Q538" s="6"/>
      <c r="R538" s="4"/>
      <c r="S538" s="4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4"/>
      <c r="G539" s="4"/>
      <c r="H539" s="5"/>
      <c r="I539" s="5"/>
      <c r="J539" s="5"/>
      <c r="K539" s="2"/>
      <c r="L539" s="2"/>
      <c r="M539" s="2"/>
      <c r="N539" s="6"/>
      <c r="O539" s="6"/>
      <c r="P539" s="6"/>
      <c r="Q539" s="6"/>
      <c r="R539" s="4"/>
      <c r="S539" s="4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4"/>
      <c r="G540" s="4"/>
      <c r="H540" s="5"/>
      <c r="I540" s="5"/>
      <c r="J540" s="5"/>
      <c r="K540" s="2"/>
      <c r="L540" s="2"/>
      <c r="M540" s="2"/>
      <c r="N540" s="6"/>
      <c r="O540" s="6"/>
      <c r="P540" s="6"/>
      <c r="Q540" s="6"/>
      <c r="R540" s="4"/>
      <c r="S540" s="4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4"/>
      <c r="G541" s="4"/>
      <c r="H541" s="5"/>
      <c r="I541" s="5"/>
      <c r="J541" s="5"/>
      <c r="K541" s="2"/>
      <c r="L541" s="2"/>
      <c r="M541" s="2"/>
      <c r="N541" s="6"/>
      <c r="O541" s="6"/>
      <c r="P541" s="6"/>
      <c r="Q541" s="6"/>
      <c r="R541" s="4"/>
      <c r="S541" s="4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4"/>
      <c r="G542" s="4"/>
      <c r="H542" s="5"/>
      <c r="I542" s="5"/>
      <c r="J542" s="5"/>
      <c r="K542" s="2"/>
      <c r="L542" s="2"/>
      <c r="M542" s="2"/>
      <c r="N542" s="6"/>
      <c r="O542" s="6"/>
      <c r="P542" s="6"/>
      <c r="Q542" s="6"/>
      <c r="R542" s="4"/>
      <c r="S542" s="4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4"/>
      <c r="G543" s="4"/>
      <c r="H543" s="5"/>
      <c r="I543" s="5"/>
      <c r="J543" s="5"/>
      <c r="K543" s="2"/>
      <c r="L543" s="2"/>
      <c r="M543" s="2"/>
      <c r="N543" s="6"/>
      <c r="O543" s="6"/>
      <c r="P543" s="6"/>
      <c r="Q543" s="6"/>
      <c r="R543" s="4"/>
      <c r="S543" s="4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4"/>
      <c r="G544" s="4"/>
      <c r="H544" s="5"/>
      <c r="I544" s="5"/>
      <c r="J544" s="5"/>
      <c r="K544" s="2"/>
      <c r="L544" s="2"/>
      <c r="M544" s="2"/>
      <c r="N544" s="6"/>
      <c r="O544" s="6"/>
      <c r="P544" s="6"/>
      <c r="Q544" s="6"/>
      <c r="R544" s="4"/>
      <c r="S544" s="4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4"/>
      <c r="G545" s="4"/>
      <c r="H545" s="5"/>
      <c r="I545" s="5"/>
      <c r="J545" s="5"/>
      <c r="K545" s="2"/>
      <c r="L545" s="2"/>
      <c r="M545" s="2"/>
      <c r="N545" s="6"/>
      <c r="O545" s="6"/>
      <c r="P545" s="6"/>
      <c r="Q545" s="6"/>
      <c r="R545" s="4"/>
      <c r="S545" s="4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4"/>
      <c r="G546" s="4"/>
      <c r="H546" s="5"/>
      <c r="I546" s="5"/>
      <c r="J546" s="5"/>
      <c r="K546" s="2"/>
      <c r="L546" s="2"/>
      <c r="M546" s="2"/>
      <c r="N546" s="6"/>
      <c r="O546" s="6"/>
      <c r="P546" s="6"/>
      <c r="Q546" s="6"/>
      <c r="R546" s="4"/>
      <c r="S546" s="4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4"/>
      <c r="G547" s="4"/>
      <c r="H547" s="5"/>
      <c r="I547" s="5"/>
      <c r="J547" s="5"/>
      <c r="K547" s="2"/>
      <c r="L547" s="2"/>
      <c r="M547" s="2"/>
      <c r="N547" s="6"/>
      <c r="O547" s="6"/>
      <c r="P547" s="6"/>
      <c r="Q547" s="6"/>
      <c r="R547" s="4"/>
      <c r="S547" s="4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4"/>
      <c r="G548" s="4"/>
      <c r="H548" s="5"/>
      <c r="I548" s="5"/>
      <c r="J548" s="5"/>
      <c r="K548" s="2"/>
      <c r="L548" s="2"/>
      <c r="M548" s="2"/>
      <c r="N548" s="6"/>
      <c r="O548" s="6"/>
      <c r="P548" s="6"/>
      <c r="Q548" s="6"/>
      <c r="R548" s="4"/>
      <c r="S548" s="4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4"/>
      <c r="G549" s="4"/>
      <c r="H549" s="5"/>
      <c r="I549" s="5"/>
      <c r="J549" s="5"/>
      <c r="K549" s="2"/>
      <c r="L549" s="2"/>
      <c r="M549" s="2"/>
      <c r="N549" s="6"/>
      <c r="O549" s="6"/>
      <c r="P549" s="6"/>
      <c r="Q549" s="6"/>
      <c r="R549" s="4"/>
      <c r="S549" s="4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4"/>
      <c r="G550" s="4"/>
      <c r="H550" s="5"/>
      <c r="I550" s="5"/>
      <c r="J550" s="5"/>
      <c r="K550" s="2"/>
      <c r="L550" s="2"/>
      <c r="M550" s="2"/>
      <c r="N550" s="6"/>
      <c r="O550" s="6"/>
      <c r="P550" s="6"/>
      <c r="Q550" s="6"/>
      <c r="R550" s="4"/>
      <c r="S550" s="4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4"/>
      <c r="G551" s="4"/>
      <c r="H551" s="5"/>
      <c r="I551" s="5"/>
      <c r="J551" s="5"/>
      <c r="K551" s="2"/>
      <c r="L551" s="2"/>
      <c r="M551" s="2"/>
      <c r="N551" s="6"/>
      <c r="O551" s="6"/>
      <c r="P551" s="6"/>
      <c r="Q551" s="6"/>
      <c r="R551" s="4"/>
      <c r="S551" s="4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4"/>
      <c r="G552" s="4"/>
      <c r="H552" s="5"/>
      <c r="I552" s="5"/>
      <c r="J552" s="5"/>
      <c r="K552" s="2"/>
      <c r="L552" s="2"/>
      <c r="M552" s="2"/>
      <c r="N552" s="6"/>
      <c r="O552" s="6"/>
      <c r="P552" s="6"/>
      <c r="Q552" s="6"/>
      <c r="R552" s="4"/>
      <c r="S552" s="4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4"/>
      <c r="G553" s="4"/>
      <c r="H553" s="5"/>
      <c r="I553" s="5"/>
      <c r="J553" s="5"/>
      <c r="K553" s="2"/>
      <c r="L553" s="2"/>
      <c r="M553" s="2"/>
      <c r="N553" s="6"/>
      <c r="O553" s="6"/>
      <c r="P553" s="6"/>
      <c r="Q553" s="6"/>
      <c r="R553" s="4"/>
      <c r="S553" s="4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4"/>
      <c r="G554" s="4"/>
      <c r="H554" s="5"/>
      <c r="I554" s="5"/>
      <c r="J554" s="5"/>
      <c r="K554" s="2"/>
      <c r="L554" s="2"/>
      <c r="M554" s="2"/>
      <c r="N554" s="6"/>
      <c r="O554" s="6"/>
      <c r="P554" s="6"/>
      <c r="Q554" s="6"/>
      <c r="R554" s="4"/>
      <c r="S554" s="4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4"/>
      <c r="G555" s="4"/>
      <c r="H555" s="5"/>
      <c r="I555" s="5"/>
      <c r="J555" s="5"/>
      <c r="K555" s="2"/>
      <c r="L555" s="2"/>
      <c r="M555" s="2"/>
      <c r="N555" s="6"/>
      <c r="O555" s="6"/>
      <c r="P555" s="6"/>
      <c r="Q555" s="6"/>
      <c r="R555" s="4"/>
      <c r="S555" s="4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4"/>
      <c r="G556" s="4"/>
      <c r="H556" s="5"/>
      <c r="I556" s="5"/>
      <c r="J556" s="5"/>
      <c r="K556" s="2"/>
      <c r="L556" s="2"/>
      <c r="M556" s="2"/>
      <c r="N556" s="6"/>
      <c r="O556" s="6"/>
      <c r="P556" s="6"/>
      <c r="Q556" s="6"/>
      <c r="R556" s="4"/>
      <c r="S556" s="4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4"/>
      <c r="G557" s="4"/>
      <c r="H557" s="5"/>
      <c r="I557" s="5"/>
      <c r="J557" s="5"/>
      <c r="K557" s="2"/>
      <c r="L557" s="2"/>
      <c r="M557" s="2"/>
      <c r="N557" s="6"/>
      <c r="O557" s="6"/>
      <c r="P557" s="6"/>
      <c r="Q557" s="6"/>
      <c r="R557" s="4"/>
      <c r="S557" s="4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4"/>
      <c r="G558" s="4"/>
      <c r="H558" s="5"/>
      <c r="I558" s="5"/>
      <c r="J558" s="5"/>
      <c r="K558" s="2"/>
      <c r="L558" s="2"/>
      <c r="M558" s="2"/>
      <c r="N558" s="6"/>
      <c r="O558" s="6"/>
      <c r="P558" s="6"/>
      <c r="Q558" s="6"/>
      <c r="R558" s="4"/>
      <c r="S558" s="4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4"/>
      <c r="G559" s="4"/>
      <c r="H559" s="5"/>
      <c r="I559" s="5"/>
      <c r="J559" s="5"/>
      <c r="K559" s="2"/>
      <c r="L559" s="2"/>
      <c r="M559" s="2"/>
      <c r="N559" s="6"/>
      <c r="O559" s="6"/>
      <c r="P559" s="6"/>
      <c r="Q559" s="6"/>
      <c r="R559" s="4"/>
      <c r="S559" s="4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4"/>
      <c r="G560" s="4"/>
      <c r="H560" s="5"/>
      <c r="I560" s="5"/>
      <c r="J560" s="5"/>
      <c r="K560" s="2"/>
      <c r="L560" s="2"/>
      <c r="M560" s="2"/>
      <c r="N560" s="6"/>
      <c r="O560" s="6"/>
      <c r="P560" s="6"/>
      <c r="Q560" s="6"/>
      <c r="R560" s="4"/>
      <c r="S560" s="4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4"/>
      <c r="G561" s="4"/>
      <c r="H561" s="5"/>
      <c r="I561" s="5"/>
      <c r="J561" s="5"/>
      <c r="K561" s="2"/>
      <c r="L561" s="2"/>
      <c r="M561" s="2"/>
      <c r="N561" s="6"/>
      <c r="O561" s="6"/>
      <c r="P561" s="6"/>
      <c r="Q561" s="6"/>
      <c r="R561" s="4"/>
      <c r="S561" s="4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4"/>
      <c r="G562" s="4"/>
      <c r="H562" s="5"/>
      <c r="I562" s="5"/>
      <c r="J562" s="5"/>
      <c r="K562" s="2"/>
      <c r="L562" s="2"/>
      <c r="M562" s="2"/>
      <c r="N562" s="6"/>
      <c r="O562" s="6"/>
      <c r="P562" s="6"/>
      <c r="Q562" s="6"/>
      <c r="R562" s="4"/>
      <c r="S562" s="4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4"/>
      <c r="G563" s="4"/>
      <c r="H563" s="5"/>
      <c r="I563" s="5"/>
      <c r="J563" s="5"/>
      <c r="K563" s="2"/>
      <c r="L563" s="2"/>
      <c r="M563" s="2"/>
      <c r="N563" s="6"/>
      <c r="O563" s="6"/>
      <c r="P563" s="6"/>
      <c r="Q563" s="6"/>
      <c r="R563" s="4"/>
      <c r="S563" s="4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4"/>
      <c r="G564" s="4"/>
      <c r="H564" s="5"/>
      <c r="I564" s="5"/>
      <c r="J564" s="5"/>
      <c r="K564" s="2"/>
      <c r="L564" s="2"/>
      <c r="M564" s="2"/>
      <c r="N564" s="6"/>
      <c r="O564" s="6"/>
      <c r="P564" s="6"/>
      <c r="Q564" s="6"/>
      <c r="R564" s="4"/>
      <c r="S564" s="4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4"/>
      <c r="G565" s="4"/>
      <c r="H565" s="5"/>
      <c r="I565" s="5"/>
      <c r="J565" s="5"/>
      <c r="K565" s="2"/>
      <c r="L565" s="2"/>
      <c r="M565" s="2"/>
      <c r="N565" s="6"/>
      <c r="O565" s="6"/>
      <c r="P565" s="6"/>
      <c r="Q565" s="6"/>
      <c r="R565" s="4"/>
      <c r="S565" s="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4"/>
      <c r="G566" s="4"/>
      <c r="H566" s="5"/>
      <c r="I566" s="5"/>
      <c r="J566" s="5"/>
      <c r="K566" s="2"/>
      <c r="L566" s="2"/>
      <c r="M566" s="2"/>
      <c r="N566" s="6"/>
      <c r="O566" s="6"/>
      <c r="P566" s="6"/>
      <c r="Q566" s="6"/>
      <c r="R566" s="4"/>
      <c r="S566" s="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4"/>
      <c r="G567" s="4"/>
      <c r="H567" s="5"/>
      <c r="I567" s="5"/>
      <c r="J567" s="5"/>
      <c r="K567" s="2"/>
      <c r="L567" s="2"/>
      <c r="M567" s="2"/>
      <c r="N567" s="6"/>
      <c r="O567" s="6"/>
      <c r="P567" s="6"/>
      <c r="Q567" s="6"/>
      <c r="R567" s="4"/>
      <c r="S567" s="4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4"/>
      <c r="G568" s="4"/>
      <c r="H568" s="5"/>
      <c r="I568" s="5"/>
      <c r="J568" s="5"/>
      <c r="K568" s="2"/>
      <c r="L568" s="2"/>
      <c r="M568" s="2"/>
      <c r="N568" s="6"/>
      <c r="O568" s="6"/>
      <c r="P568" s="6"/>
      <c r="Q568" s="6"/>
      <c r="R568" s="4"/>
      <c r="S568" s="4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4"/>
      <c r="G569" s="4"/>
      <c r="H569" s="5"/>
      <c r="I569" s="5"/>
      <c r="J569" s="5"/>
      <c r="K569" s="2"/>
      <c r="L569" s="2"/>
      <c r="M569" s="2"/>
      <c r="N569" s="6"/>
      <c r="O569" s="6"/>
      <c r="P569" s="6"/>
      <c r="Q569" s="6"/>
      <c r="R569" s="4"/>
      <c r="S569" s="4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4"/>
      <c r="G570" s="4"/>
      <c r="H570" s="5"/>
      <c r="I570" s="5"/>
      <c r="J570" s="5"/>
      <c r="K570" s="2"/>
      <c r="L570" s="2"/>
      <c r="M570" s="2"/>
      <c r="N570" s="6"/>
      <c r="O570" s="6"/>
      <c r="P570" s="6"/>
      <c r="Q570" s="6"/>
      <c r="R570" s="4"/>
      <c r="S570" s="4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4"/>
      <c r="G571" s="4"/>
      <c r="H571" s="5"/>
      <c r="I571" s="5"/>
      <c r="J571" s="5"/>
      <c r="K571" s="2"/>
      <c r="L571" s="2"/>
      <c r="M571" s="2"/>
      <c r="N571" s="6"/>
      <c r="O571" s="6"/>
      <c r="P571" s="6"/>
      <c r="Q571" s="6"/>
      <c r="R571" s="4"/>
      <c r="S571" s="4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4"/>
      <c r="G572" s="4"/>
      <c r="H572" s="5"/>
      <c r="I572" s="5"/>
      <c r="J572" s="5"/>
      <c r="K572" s="2"/>
      <c r="L572" s="2"/>
      <c r="M572" s="2"/>
      <c r="N572" s="6"/>
      <c r="O572" s="6"/>
      <c r="P572" s="6"/>
      <c r="Q572" s="6"/>
      <c r="R572" s="4"/>
      <c r="S572" s="4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4"/>
      <c r="G573" s="4"/>
      <c r="H573" s="5"/>
      <c r="I573" s="5"/>
      <c r="J573" s="5"/>
      <c r="K573" s="2"/>
      <c r="L573" s="2"/>
      <c r="M573" s="2"/>
      <c r="N573" s="6"/>
      <c r="O573" s="6"/>
      <c r="P573" s="6"/>
      <c r="Q573" s="6"/>
      <c r="R573" s="4"/>
      <c r="S573" s="4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4"/>
      <c r="G574" s="4"/>
      <c r="H574" s="5"/>
      <c r="I574" s="5"/>
      <c r="J574" s="5"/>
      <c r="K574" s="2"/>
      <c r="L574" s="2"/>
      <c r="M574" s="2"/>
      <c r="N574" s="6"/>
      <c r="O574" s="6"/>
      <c r="P574" s="6"/>
      <c r="Q574" s="6"/>
      <c r="R574" s="4"/>
      <c r="S574" s="4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4"/>
      <c r="G575" s="4"/>
      <c r="H575" s="5"/>
      <c r="I575" s="5"/>
      <c r="J575" s="5"/>
      <c r="K575" s="2"/>
      <c r="L575" s="2"/>
      <c r="M575" s="2"/>
      <c r="N575" s="6"/>
      <c r="O575" s="6"/>
      <c r="P575" s="6"/>
      <c r="Q575" s="6"/>
      <c r="R575" s="4"/>
      <c r="S575" s="4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4"/>
      <c r="G576" s="4"/>
      <c r="H576" s="5"/>
      <c r="I576" s="5"/>
      <c r="J576" s="5"/>
      <c r="K576" s="2"/>
      <c r="L576" s="2"/>
      <c r="M576" s="2"/>
      <c r="N576" s="6"/>
      <c r="O576" s="6"/>
      <c r="P576" s="6"/>
      <c r="Q576" s="6"/>
      <c r="R576" s="4"/>
      <c r="S576" s="4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4"/>
      <c r="G577" s="4"/>
      <c r="H577" s="5"/>
      <c r="I577" s="5"/>
      <c r="J577" s="5"/>
      <c r="K577" s="2"/>
      <c r="L577" s="2"/>
      <c r="M577" s="2"/>
      <c r="N577" s="6"/>
      <c r="O577" s="6"/>
      <c r="P577" s="6"/>
      <c r="Q577" s="6"/>
      <c r="R577" s="4"/>
      <c r="S577" s="4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4"/>
      <c r="G578" s="4"/>
      <c r="H578" s="5"/>
      <c r="I578" s="5"/>
      <c r="J578" s="5"/>
      <c r="K578" s="2"/>
      <c r="L578" s="2"/>
      <c r="M578" s="2"/>
      <c r="N578" s="6"/>
      <c r="O578" s="6"/>
      <c r="P578" s="6"/>
      <c r="Q578" s="6"/>
      <c r="R578" s="4"/>
      <c r="S578" s="4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4"/>
      <c r="G579" s="4"/>
      <c r="H579" s="5"/>
      <c r="I579" s="5"/>
      <c r="J579" s="5"/>
      <c r="K579" s="2"/>
      <c r="L579" s="2"/>
      <c r="M579" s="2"/>
      <c r="N579" s="6"/>
      <c r="O579" s="6"/>
      <c r="P579" s="6"/>
      <c r="Q579" s="6"/>
      <c r="R579" s="4"/>
      <c r="S579" s="4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4"/>
      <c r="G580" s="4"/>
      <c r="H580" s="5"/>
      <c r="I580" s="5"/>
      <c r="J580" s="5"/>
      <c r="K580" s="2"/>
      <c r="L580" s="2"/>
      <c r="M580" s="2"/>
      <c r="N580" s="6"/>
      <c r="O580" s="6"/>
      <c r="P580" s="6"/>
      <c r="Q580" s="6"/>
      <c r="R580" s="4"/>
      <c r="S580" s="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4"/>
      <c r="G581" s="4"/>
      <c r="H581" s="5"/>
      <c r="I581" s="5"/>
      <c r="J581" s="5"/>
      <c r="K581" s="2"/>
      <c r="L581" s="2"/>
      <c r="M581" s="2"/>
      <c r="N581" s="6"/>
      <c r="O581" s="6"/>
      <c r="P581" s="6"/>
      <c r="Q581" s="6"/>
      <c r="R581" s="4"/>
      <c r="S581" s="4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4"/>
      <c r="G582" s="4"/>
      <c r="H582" s="5"/>
      <c r="I582" s="5"/>
      <c r="J582" s="5"/>
      <c r="K582" s="2"/>
      <c r="L582" s="2"/>
      <c r="M582" s="2"/>
      <c r="N582" s="6"/>
      <c r="O582" s="6"/>
      <c r="P582" s="6"/>
      <c r="Q582" s="6"/>
      <c r="R582" s="4"/>
      <c r="S582" s="4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4"/>
      <c r="G583" s="4"/>
      <c r="H583" s="5"/>
      <c r="I583" s="5"/>
      <c r="J583" s="5"/>
      <c r="K583" s="2"/>
      <c r="L583" s="2"/>
      <c r="M583" s="2"/>
      <c r="N583" s="6"/>
      <c r="O583" s="6"/>
      <c r="P583" s="6"/>
      <c r="Q583" s="6"/>
      <c r="R583" s="4"/>
      <c r="S583" s="4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4"/>
      <c r="G584" s="4"/>
      <c r="H584" s="5"/>
      <c r="I584" s="5"/>
      <c r="J584" s="5"/>
      <c r="K584" s="2"/>
      <c r="L584" s="2"/>
      <c r="M584" s="2"/>
      <c r="N584" s="6"/>
      <c r="O584" s="6"/>
      <c r="P584" s="6"/>
      <c r="Q584" s="6"/>
      <c r="R584" s="4"/>
      <c r="S584" s="4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4"/>
      <c r="G585" s="4"/>
      <c r="H585" s="5"/>
      <c r="I585" s="5"/>
      <c r="J585" s="5"/>
      <c r="K585" s="2"/>
      <c r="L585" s="2"/>
      <c r="M585" s="2"/>
      <c r="N585" s="6"/>
      <c r="O585" s="6"/>
      <c r="P585" s="6"/>
      <c r="Q585" s="6"/>
      <c r="R585" s="4"/>
      <c r="S585" s="4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4"/>
      <c r="G586" s="4"/>
      <c r="H586" s="5"/>
      <c r="I586" s="5"/>
      <c r="J586" s="5"/>
      <c r="K586" s="2"/>
      <c r="L586" s="2"/>
      <c r="M586" s="2"/>
      <c r="N586" s="6"/>
      <c r="O586" s="6"/>
      <c r="P586" s="6"/>
      <c r="Q586" s="6"/>
      <c r="R586" s="4"/>
      <c r="S586" s="4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4"/>
      <c r="G587" s="4"/>
      <c r="H587" s="5"/>
      <c r="I587" s="5"/>
      <c r="J587" s="5"/>
      <c r="K587" s="2"/>
      <c r="L587" s="2"/>
      <c r="M587" s="2"/>
      <c r="N587" s="6"/>
      <c r="O587" s="6"/>
      <c r="P587" s="6"/>
      <c r="Q587" s="6"/>
      <c r="R587" s="4"/>
      <c r="S587" s="4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4"/>
      <c r="G588" s="4"/>
      <c r="H588" s="5"/>
      <c r="I588" s="5"/>
      <c r="J588" s="5"/>
      <c r="K588" s="2"/>
      <c r="L588" s="2"/>
      <c r="M588" s="2"/>
      <c r="N588" s="6"/>
      <c r="O588" s="6"/>
      <c r="P588" s="6"/>
      <c r="Q588" s="6"/>
      <c r="R588" s="4"/>
      <c r="S588" s="4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4"/>
      <c r="G589" s="4"/>
      <c r="H589" s="5"/>
      <c r="I589" s="5"/>
      <c r="J589" s="5"/>
      <c r="K589" s="2"/>
      <c r="L589" s="2"/>
      <c r="M589" s="2"/>
      <c r="N589" s="6"/>
      <c r="O589" s="6"/>
      <c r="P589" s="6"/>
      <c r="Q589" s="6"/>
      <c r="R589" s="4"/>
      <c r="S589" s="4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4"/>
      <c r="G590" s="4"/>
      <c r="H590" s="5"/>
      <c r="I590" s="5"/>
      <c r="J590" s="5"/>
      <c r="K590" s="2"/>
      <c r="L590" s="2"/>
      <c r="M590" s="2"/>
      <c r="N590" s="6"/>
      <c r="O590" s="6"/>
      <c r="P590" s="6"/>
      <c r="Q590" s="6"/>
      <c r="R590" s="4"/>
      <c r="S590" s="4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4"/>
      <c r="G591" s="4"/>
      <c r="H591" s="5"/>
      <c r="I591" s="5"/>
      <c r="J591" s="5"/>
      <c r="K591" s="2"/>
      <c r="L591" s="2"/>
      <c r="M591" s="2"/>
      <c r="N591" s="6"/>
      <c r="O591" s="6"/>
      <c r="P591" s="6"/>
      <c r="Q591" s="6"/>
      <c r="R591" s="4"/>
      <c r="S591" s="4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4"/>
      <c r="G592" s="4"/>
      <c r="H592" s="5"/>
      <c r="I592" s="5"/>
      <c r="J592" s="5"/>
      <c r="K592" s="2"/>
      <c r="L592" s="2"/>
      <c r="M592" s="2"/>
      <c r="N592" s="6"/>
      <c r="O592" s="6"/>
      <c r="P592" s="6"/>
      <c r="Q592" s="6"/>
      <c r="R592" s="4"/>
      <c r="S592" s="4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4"/>
      <c r="G593" s="4"/>
      <c r="H593" s="5"/>
      <c r="I593" s="5"/>
      <c r="J593" s="5"/>
      <c r="K593" s="2"/>
      <c r="L593" s="2"/>
      <c r="M593" s="2"/>
      <c r="N593" s="6"/>
      <c r="O593" s="6"/>
      <c r="P593" s="6"/>
      <c r="Q593" s="6"/>
      <c r="R593" s="4"/>
      <c r="S593" s="4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4"/>
      <c r="G594" s="4"/>
      <c r="H594" s="5"/>
      <c r="I594" s="5"/>
      <c r="J594" s="5"/>
      <c r="K594" s="2"/>
      <c r="L594" s="2"/>
      <c r="M594" s="2"/>
      <c r="N594" s="6"/>
      <c r="O594" s="6"/>
      <c r="P594" s="6"/>
      <c r="Q594" s="6"/>
      <c r="R594" s="4"/>
      <c r="S594" s="4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4"/>
      <c r="G595" s="4"/>
      <c r="H595" s="5"/>
      <c r="I595" s="5"/>
      <c r="J595" s="5"/>
      <c r="K595" s="2"/>
      <c r="L595" s="2"/>
      <c r="M595" s="2"/>
      <c r="N595" s="6"/>
      <c r="O595" s="6"/>
      <c r="P595" s="6"/>
      <c r="Q595" s="6"/>
      <c r="R595" s="4"/>
      <c r="S595" s="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4"/>
      <c r="G596" s="4"/>
      <c r="H596" s="5"/>
      <c r="I596" s="5"/>
      <c r="J596" s="5"/>
      <c r="K596" s="2"/>
      <c r="L596" s="2"/>
      <c r="M596" s="2"/>
      <c r="N596" s="6"/>
      <c r="O596" s="6"/>
      <c r="P596" s="6"/>
      <c r="Q596" s="6"/>
      <c r="R596" s="4"/>
      <c r="S596" s="4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4"/>
      <c r="G597" s="4"/>
      <c r="H597" s="5"/>
      <c r="I597" s="5"/>
      <c r="J597" s="5"/>
      <c r="K597" s="2"/>
      <c r="L597" s="2"/>
      <c r="M597" s="2"/>
      <c r="N597" s="6"/>
      <c r="O597" s="6"/>
      <c r="P597" s="6"/>
      <c r="Q597" s="6"/>
      <c r="R597" s="4"/>
      <c r="S597" s="4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4"/>
      <c r="G598" s="4"/>
      <c r="H598" s="5"/>
      <c r="I598" s="5"/>
      <c r="J598" s="5"/>
      <c r="K598" s="2"/>
      <c r="L598" s="2"/>
      <c r="M598" s="2"/>
      <c r="N598" s="6"/>
      <c r="O598" s="6"/>
      <c r="P598" s="6"/>
      <c r="Q598" s="6"/>
      <c r="R598" s="4"/>
      <c r="S598" s="4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4"/>
      <c r="G599" s="4"/>
      <c r="H599" s="5"/>
      <c r="I599" s="5"/>
      <c r="J599" s="5"/>
      <c r="K599" s="2"/>
      <c r="L599" s="2"/>
      <c r="M599" s="2"/>
      <c r="N599" s="6"/>
      <c r="O599" s="6"/>
      <c r="P599" s="6"/>
      <c r="Q599" s="6"/>
      <c r="R599" s="4"/>
      <c r="S599" s="4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4"/>
      <c r="G600" s="4"/>
      <c r="H600" s="5"/>
      <c r="I600" s="5"/>
      <c r="J600" s="5"/>
      <c r="K600" s="2"/>
      <c r="L600" s="2"/>
      <c r="M600" s="2"/>
      <c r="N600" s="6"/>
      <c r="O600" s="6"/>
      <c r="P600" s="6"/>
      <c r="Q600" s="6"/>
      <c r="R600" s="4"/>
      <c r="S600" s="4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4"/>
      <c r="G601" s="4"/>
      <c r="H601" s="5"/>
      <c r="I601" s="5"/>
      <c r="J601" s="5"/>
      <c r="K601" s="2"/>
      <c r="L601" s="2"/>
      <c r="M601" s="2"/>
      <c r="N601" s="6"/>
      <c r="O601" s="6"/>
      <c r="P601" s="6"/>
      <c r="Q601" s="6"/>
      <c r="R601" s="4"/>
      <c r="S601" s="4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4"/>
      <c r="G602" s="4"/>
      <c r="H602" s="5"/>
      <c r="I602" s="5"/>
      <c r="J602" s="5"/>
      <c r="K602" s="2"/>
      <c r="L602" s="2"/>
      <c r="M602" s="2"/>
      <c r="N602" s="6"/>
      <c r="O602" s="6"/>
      <c r="P602" s="6"/>
      <c r="Q602" s="6"/>
      <c r="R602" s="4"/>
      <c r="S602" s="4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4"/>
      <c r="G603" s="4"/>
      <c r="H603" s="5"/>
      <c r="I603" s="5"/>
      <c r="J603" s="5"/>
      <c r="K603" s="2"/>
      <c r="L603" s="2"/>
      <c r="M603" s="2"/>
      <c r="N603" s="6"/>
      <c r="O603" s="6"/>
      <c r="P603" s="6"/>
      <c r="Q603" s="6"/>
      <c r="R603" s="4"/>
      <c r="S603" s="4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4"/>
      <c r="G604" s="4"/>
      <c r="H604" s="5"/>
      <c r="I604" s="5"/>
      <c r="J604" s="5"/>
      <c r="K604" s="2"/>
      <c r="L604" s="2"/>
      <c r="M604" s="2"/>
      <c r="N604" s="6"/>
      <c r="O604" s="6"/>
      <c r="P604" s="6"/>
      <c r="Q604" s="6"/>
      <c r="R604" s="4"/>
      <c r="S604" s="4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4"/>
      <c r="G605" s="4"/>
      <c r="H605" s="5"/>
      <c r="I605" s="5"/>
      <c r="J605" s="5"/>
      <c r="K605" s="2"/>
      <c r="L605" s="2"/>
      <c r="M605" s="2"/>
      <c r="N605" s="6"/>
      <c r="O605" s="6"/>
      <c r="P605" s="6"/>
      <c r="Q605" s="6"/>
      <c r="R605" s="4"/>
      <c r="S605" s="4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4"/>
      <c r="G606" s="4"/>
      <c r="H606" s="5"/>
      <c r="I606" s="5"/>
      <c r="J606" s="5"/>
      <c r="K606" s="2"/>
      <c r="L606" s="2"/>
      <c r="M606" s="2"/>
      <c r="N606" s="6"/>
      <c r="O606" s="6"/>
      <c r="P606" s="6"/>
      <c r="Q606" s="6"/>
      <c r="R606" s="4"/>
      <c r="S606" s="4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4"/>
      <c r="G607" s="4"/>
      <c r="H607" s="5"/>
      <c r="I607" s="5"/>
      <c r="J607" s="5"/>
      <c r="K607" s="2"/>
      <c r="L607" s="2"/>
      <c r="M607" s="2"/>
      <c r="N607" s="6"/>
      <c r="O607" s="6"/>
      <c r="P607" s="6"/>
      <c r="Q607" s="6"/>
      <c r="R607" s="4"/>
      <c r="S607" s="4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4"/>
      <c r="G608" s="4"/>
      <c r="H608" s="5"/>
      <c r="I608" s="5"/>
      <c r="J608" s="5"/>
      <c r="K608" s="2"/>
      <c r="L608" s="2"/>
      <c r="M608" s="2"/>
      <c r="N608" s="6"/>
      <c r="O608" s="6"/>
      <c r="P608" s="6"/>
      <c r="Q608" s="6"/>
      <c r="R608" s="4"/>
      <c r="S608" s="4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4"/>
      <c r="G609" s="4"/>
      <c r="H609" s="5"/>
      <c r="I609" s="5"/>
      <c r="J609" s="5"/>
      <c r="K609" s="2"/>
      <c r="L609" s="2"/>
      <c r="M609" s="2"/>
      <c r="N609" s="6"/>
      <c r="O609" s="6"/>
      <c r="P609" s="6"/>
      <c r="Q609" s="6"/>
      <c r="R609" s="4"/>
      <c r="S609" s="4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4"/>
      <c r="G610" s="4"/>
      <c r="H610" s="5"/>
      <c r="I610" s="5"/>
      <c r="J610" s="5"/>
      <c r="K610" s="2"/>
      <c r="L610" s="2"/>
      <c r="M610" s="2"/>
      <c r="N610" s="6"/>
      <c r="O610" s="6"/>
      <c r="P610" s="6"/>
      <c r="Q610" s="6"/>
      <c r="R610" s="4"/>
      <c r="S610" s="4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4"/>
      <c r="G611" s="4"/>
      <c r="H611" s="5"/>
      <c r="I611" s="5"/>
      <c r="J611" s="5"/>
      <c r="K611" s="2"/>
      <c r="L611" s="2"/>
      <c r="M611" s="2"/>
      <c r="N611" s="6"/>
      <c r="O611" s="6"/>
      <c r="P611" s="6"/>
      <c r="Q611" s="6"/>
      <c r="R611" s="4"/>
      <c r="S611" s="4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4"/>
      <c r="G612" s="4"/>
      <c r="H612" s="5"/>
      <c r="I612" s="5"/>
      <c r="J612" s="5"/>
      <c r="K612" s="2"/>
      <c r="L612" s="2"/>
      <c r="M612" s="2"/>
      <c r="N612" s="6"/>
      <c r="O612" s="6"/>
      <c r="P612" s="6"/>
      <c r="Q612" s="6"/>
      <c r="R612" s="4"/>
      <c r="S612" s="4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4"/>
      <c r="G613" s="4"/>
      <c r="H613" s="5"/>
      <c r="I613" s="5"/>
      <c r="J613" s="5"/>
      <c r="K613" s="2"/>
      <c r="L613" s="2"/>
      <c r="M613" s="2"/>
      <c r="N613" s="6"/>
      <c r="O613" s="6"/>
      <c r="P613" s="6"/>
      <c r="Q613" s="6"/>
      <c r="R613" s="4"/>
      <c r="S613" s="4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4"/>
      <c r="G614" s="4"/>
      <c r="H614" s="5"/>
      <c r="I614" s="5"/>
      <c r="J614" s="5"/>
      <c r="K614" s="2"/>
      <c r="L614" s="2"/>
      <c r="M614" s="2"/>
      <c r="N614" s="6"/>
      <c r="O614" s="6"/>
      <c r="P614" s="6"/>
      <c r="Q614" s="6"/>
      <c r="R614" s="4"/>
      <c r="S614" s="4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4"/>
      <c r="G615" s="4"/>
      <c r="H615" s="5"/>
      <c r="I615" s="5"/>
      <c r="J615" s="5"/>
      <c r="K615" s="2"/>
      <c r="L615" s="2"/>
      <c r="M615" s="2"/>
      <c r="N615" s="6"/>
      <c r="O615" s="6"/>
      <c r="P615" s="6"/>
      <c r="Q615" s="6"/>
      <c r="R615" s="4"/>
      <c r="S615" s="4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4"/>
      <c r="G616" s="4"/>
      <c r="H616" s="5"/>
      <c r="I616" s="5"/>
      <c r="J616" s="5"/>
      <c r="K616" s="2"/>
      <c r="L616" s="2"/>
      <c r="M616" s="2"/>
      <c r="N616" s="6"/>
      <c r="O616" s="6"/>
      <c r="P616" s="6"/>
      <c r="Q616" s="6"/>
      <c r="R616" s="4"/>
      <c r="S616" s="4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4"/>
      <c r="G617" s="4"/>
      <c r="H617" s="5"/>
      <c r="I617" s="5"/>
      <c r="J617" s="5"/>
      <c r="K617" s="2"/>
      <c r="L617" s="2"/>
      <c r="M617" s="2"/>
      <c r="N617" s="6"/>
      <c r="O617" s="6"/>
      <c r="P617" s="6"/>
      <c r="Q617" s="6"/>
      <c r="R617" s="4"/>
      <c r="S617" s="4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4"/>
      <c r="G618" s="4"/>
      <c r="H618" s="5"/>
      <c r="I618" s="5"/>
      <c r="J618" s="5"/>
      <c r="K618" s="2"/>
      <c r="L618" s="2"/>
      <c r="M618" s="2"/>
      <c r="N618" s="6"/>
      <c r="O618" s="6"/>
      <c r="P618" s="6"/>
      <c r="Q618" s="6"/>
      <c r="R618" s="4"/>
      <c r="S618" s="4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4"/>
      <c r="G619" s="4"/>
      <c r="H619" s="5"/>
      <c r="I619" s="5"/>
      <c r="J619" s="5"/>
      <c r="K619" s="2"/>
      <c r="L619" s="2"/>
      <c r="M619" s="2"/>
      <c r="N619" s="6"/>
      <c r="O619" s="6"/>
      <c r="P619" s="6"/>
      <c r="Q619" s="6"/>
      <c r="R619" s="4"/>
      <c r="S619" s="4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4"/>
      <c r="G620" s="4"/>
      <c r="H620" s="5"/>
      <c r="I620" s="5"/>
      <c r="J620" s="5"/>
      <c r="K620" s="2"/>
      <c r="L620" s="2"/>
      <c r="M620" s="2"/>
      <c r="N620" s="6"/>
      <c r="O620" s="6"/>
      <c r="P620" s="6"/>
      <c r="Q620" s="6"/>
      <c r="R620" s="4"/>
      <c r="S620" s="4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4"/>
      <c r="G621" s="4"/>
      <c r="H621" s="5"/>
      <c r="I621" s="5"/>
      <c r="J621" s="5"/>
      <c r="K621" s="2"/>
      <c r="L621" s="2"/>
      <c r="M621" s="2"/>
      <c r="N621" s="6"/>
      <c r="O621" s="6"/>
      <c r="P621" s="6"/>
      <c r="Q621" s="6"/>
      <c r="R621" s="4"/>
      <c r="S621" s="4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4"/>
      <c r="G622" s="4"/>
      <c r="H622" s="5"/>
      <c r="I622" s="5"/>
      <c r="J622" s="5"/>
      <c r="K622" s="2"/>
      <c r="L622" s="2"/>
      <c r="M622" s="2"/>
      <c r="N622" s="6"/>
      <c r="O622" s="6"/>
      <c r="P622" s="6"/>
      <c r="Q622" s="6"/>
      <c r="R622" s="4"/>
      <c r="S622" s="4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4"/>
      <c r="G623" s="4"/>
      <c r="H623" s="5"/>
      <c r="I623" s="5"/>
      <c r="J623" s="5"/>
      <c r="K623" s="2"/>
      <c r="L623" s="2"/>
      <c r="M623" s="2"/>
      <c r="N623" s="6"/>
      <c r="O623" s="6"/>
      <c r="P623" s="6"/>
      <c r="Q623" s="6"/>
      <c r="R623" s="4"/>
      <c r="S623" s="4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4"/>
      <c r="G624" s="4"/>
      <c r="H624" s="5"/>
      <c r="I624" s="5"/>
      <c r="J624" s="5"/>
      <c r="K624" s="2"/>
      <c r="L624" s="2"/>
      <c r="M624" s="2"/>
      <c r="N624" s="6"/>
      <c r="O624" s="6"/>
      <c r="P624" s="6"/>
      <c r="Q624" s="6"/>
      <c r="R624" s="4"/>
      <c r="S624" s="4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4"/>
      <c r="G625" s="4"/>
      <c r="H625" s="5"/>
      <c r="I625" s="5"/>
      <c r="J625" s="5"/>
      <c r="K625" s="2"/>
      <c r="L625" s="2"/>
      <c r="M625" s="2"/>
      <c r="N625" s="6"/>
      <c r="O625" s="6"/>
      <c r="P625" s="6"/>
      <c r="Q625" s="6"/>
      <c r="R625" s="4"/>
      <c r="S625" s="4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4"/>
      <c r="G626" s="4"/>
      <c r="H626" s="5"/>
      <c r="I626" s="5"/>
      <c r="J626" s="5"/>
      <c r="K626" s="2"/>
      <c r="L626" s="2"/>
      <c r="M626" s="2"/>
      <c r="N626" s="6"/>
      <c r="O626" s="6"/>
      <c r="P626" s="6"/>
      <c r="Q626" s="6"/>
      <c r="R626" s="4"/>
      <c r="S626" s="4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4"/>
      <c r="G627" s="4"/>
      <c r="H627" s="5"/>
      <c r="I627" s="5"/>
      <c r="J627" s="5"/>
      <c r="K627" s="2"/>
      <c r="L627" s="2"/>
      <c r="M627" s="2"/>
      <c r="N627" s="6"/>
      <c r="O627" s="6"/>
      <c r="P627" s="6"/>
      <c r="Q627" s="6"/>
      <c r="R627" s="4"/>
      <c r="S627" s="4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4"/>
      <c r="G628" s="4"/>
      <c r="H628" s="5"/>
      <c r="I628" s="5"/>
      <c r="J628" s="5"/>
      <c r="K628" s="2"/>
      <c r="L628" s="2"/>
      <c r="M628" s="2"/>
      <c r="N628" s="6"/>
      <c r="O628" s="6"/>
      <c r="P628" s="6"/>
      <c r="Q628" s="6"/>
      <c r="R628" s="4"/>
      <c r="S628" s="4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4"/>
      <c r="G629" s="4"/>
      <c r="H629" s="5"/>
      <c r="I629" s="5"/>
      <c r="J629" s="5"/>
      <c r="K629" s="2"/>
      <c r="L629" s="2"/>
      <c r="M629" s="2"/>
      <c r="N629" s="6"/>
      <c r="O629" s="6"/>
      <c r="P629" s="6"/>
      <c r="Q629" s="6"/>
      <c r="R629" s="4"/>
      <c r="S629" s="4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4"/>
      <c r="G630" s="4"/>
      <c r="H630" s="5"/>
      <c r="I630" s="5"/>
      <c r="J630" s="5"/>
      <c r="K630" s="2"/>
      <c r="L630" s="2"/>
      <c r="M630" s="2"/>
      <c r="N630" s="6"/>
      <c r="O630" s="6"/>
      <c r="P630" s="6"/>
      <c r="Q630" s="6"/>
      <c r="R630" s="4"/>
      <c r="S630" s="4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4"/>
      <c r="G631" s="4"/>
      <c r="H631" s="5"/>
      <c r="I631" s="5"/>
      <c r="J631" s="5"/>
      <c r="K631" s="2"/>
      <c r="L631" s="2"/>
      <c r="M631" s="2"/>
      <c r="N631" s="6"/>
      <c r="O631" s="6"/>
      <c r="P631" s="6"/>
      <c r="Q631" s="6"/>
      <c r="R631" s="4"/>
      <c r="S631" s="4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4"/>
      <c r="G632" s="4"/>
      <c r="H632" s="5"/>
      <c r="I632" s="5"/>
      <c r="J632" s="5"/>
      <c r="K632" s="2"/>
      <c r="L632" s="2"/>
      <c r="M632" s="2"/>
      <c r="N632" s="6"/>
      <c r="O632" s="6"/>
      <c r="P632" s="6"/>
      <c r="Q632" s="6"/>
      <c r="R632" s="4"/>
      <c r="S632" s="4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4"/>
      <c r="G633" s="4"/>
      <c r="H633" s="5"/>
      <c r="I633" s="5"/>
      <c r="J633" s="5"/>
      <c r="K633" s="2"/>
      <c r="L633" s="2"/>
      <c r="M633" s="2"/>
      <c r="N633" s="6"/>
      <c r="O633" s="6"/>
      <c r="P633" s="6"/>
      <c r="Q633" s="6"/>
      <c r="R633" s="4"/>
      <c r="S633" s="4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4"/>
      <c r="G634" s="4"/>
      <c r="H634" s="5"/>
      <c r="I634" s="5"/>
      <c r="J634" s="5"/>
      <c r="K634" s="2"/>
      <c r="L634" s="2"/>
      <c r="M634" s="2"/>
      <c r="N634" s="6"/>
      <c r="O634" s="6"/>
      <c r="P634" s="6"/>
      <c r="Q634" s="6"/>
      <c r="R634" s="4"/>
      <c r="S634" s="4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4"/>
      <c r="G635" s="4"/>
      <c r="H635" s="5"/>
      <c r="I635" s="5"/>
      <c r="J635" s="5"/>
      <c r="K635" s="2"/>
      <c r="L635" s="2"/>
      <c r="M635" s="2"/>
      <c r="N635" s="6"/>
      <c r="O635" s="6"/>
      <c r="P635" s="6"/>
      <c r="Q635" s="6"/>
      <c r="R635" s="4"/>
      <c r="S635" s="4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4"/>
      <c r="G636" s="4"/>
      <c r="H636" s="5"/>
      <c r="I636" s="5"/>
      <c r="J636" s="5"/>
      <c r="K636" s="2"/>
      <c r="L636" s="2"/>
      <c r="M636" s="2"/>
      <c r="N636" s="6"/>
      <c r="O636" s="6"/>
      <c r="P636" s="6"/>
      <c r="Q636" s="6"/>
      <c r="R636" s="4"/>
      <c r="S636" s="4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4"/>
      <c r="G637" s="4"/>
      <c r="H637" s="5"/>
      <c r="I637" s="5"/>
      <c r="J637" s="5"/>
      <c r="K637" s="2"/>
      <c r="L637" s="2"/>
      <c r="M637" s="2"/>
      <c r="N637" s="6"/>
      <c r="O637" s="6"/>
      <c r="P637" s="6"/>
      <c r="Q637" s="6"/>
      <c r="R637" s="4"/>
      <c r="S637" s="4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4"/>
      <c r="G638" s="4"/>
      <c r="H638" s="5"/>
      <c r="I638" s="5"/>
      <c r="J638" s="5"/>
      <c r="K638" s="2"/>
      <c r="L638" s="2"/>
      <c r="M638" s="2"/>
      <c r="N638" s="6"/>
      <c r="O638" s="6"/>
      <c r="P638" s="6"/>
      <c r="Q638" s="6"/>
      <c r="R638" s="4"/>
      <c r="S638" s="4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4"/>
      <c r="G639" s="4"/>
      <c r="H639" s="5"/>
      <c r="I639" s="5"/>
      <c r="J639" s="5"/>
      <c r="K639" s="2"/>
      <c r="L639" s="2"/>
      <c r="M639" s="2"/>
      <c r="N639" s="6"/>
      <c r="O639" s="6"/>
      <c r="P639" s="6"/>
      <c r="Q639" s="6"/>
      <c r="R639" s="4"/>
      <c r="S639" s="4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4"/>
      <c r="G640" s="4"/>
      <c r="H640" s="5"/>
      <c r="I640" s="5"/>
      <c r="J640" s="5"/>
      <c r="K640" s="2"/>
      <c r="L640" s="2"/>
      <c r="M640" s="2"/>
      <c r="N640" s="6"/>
      <c r="O640" s="6"/>
      <c r="P640" s="6"/>
      <c r="Q640" s="6"/>
      <c r="R640" s="4"/>
      <c r="S640" s="4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4"/>
      <c r="G641" s="4"/>
      <c r="H641" s="5"/>
      <c r="I641" s="5"/>
      <c r="J641" s="5"/>
      <c r="K641" s="2"/>
      <c r="L641" s="2"/>
      <c r="M641" s="2"/>
      <c r="N641" s="6"/>
      <c r="O641" s="6"/>
      <c r="P641" s="6"/>
      <c r="Q641" s="6"/>
      <c r="R641" s="4"/>
      <c r="S641" s="4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4"/>
      <c r="G642" s="4"/>
      <c r="H642" s="5"/>
      <c r="I642" s="5"/>
      <c r="J642" s="5"/>
      <c r="K642" s="2"/>
      <c r="L642" s="2"/>
      <c r="M642" s="2"/>
      <c r="N642" s="6"/>
      <c r="O642" s="6"/>
      <c r="P642" s="6"/>
      <c r="Q642" s="6"/>
      <c r="R642" s="4"/>
      <c r="S642" s="4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4"/>
      <c r="G643" s="4"/>
      <c r="H643" s="5"/>
      <c r="I643" s="5"/>
      <c r="J643" s="5"/>
      <c r="K643" s="2"/>
      <c r="L643" s="2"/>
      <c r="M643" s="2"/>
      <c r="N643" s="6"/>
      <c r="O643" s="6"/>
      <c r="P643" s="6"/>
      <c r="Q643" s="6"/>
      <c r="R643" s="4"/>
      <c r="S643" s="4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4"/>
      <c r="G644" s="4"/>
      <c r="H644" s="5"/>
      <c r="I644" s="5"/>
      <c r="J644" s="5"/>
      <c r="K644" s="2"/>
      <c r="L644" s="2"/>
      <c r="M644" s="2"/>
      <c r="N644" s="6"/>
      <c r="O644" s="6"/>
      <c r="P644" s="6"/>
      <c r="Q644" s="6"/>
      <c r="R644" s="4"/>
      <c r="S644" s="4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4"/>
      <c r="G645" s="4"/>
      <c r="H645" s="5"/>
      <c r="I645" s="5"/>
      <c r="J645" s="5"/>
      <c r="K645" s="2"/>
      <c r="L645" s="2"/>
      <c r="M645" s="2"/>
      <c r="N645" s="6"/>
      <c r="O645" s="6"/>
      <c r="P645" s="6"/>
      <c r="Q645" s="6"/>
      <c r="R645" s="4"/>
      <c r="S645" s="4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4"/>
      <c r="G646" s="4"/>
      <c r="H646" s="5"/>
      <c r="I646" s="5"/>
      <c r="J646" s="5"/>
      <c r="K646" s="2"/>
      <c r="L646" s="2"/>
      <c r="M646" s="2"/>
      <c r="N646" s="6"/>
      <c r="O646" s="6"/>
      <c r="P646" s="6"/>
      <c r="Q646" s="6"/>
      <c r="R646" s="4"/>
      <c r="S646" s="4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4"/>
      <c r="G647" s="4"/>
      <c r="H647" s="5"/>
      <c r="I647" s="5"/>
      <c r="J647" s="5"/>
      <c r="K647" s="2"/>
      <c r="L647" s="2"/>
      <c r="M647" s="2"/>
      <c r="N647" s="6"/>
      <c r="O647" s="6"/>
      <c r="P647" s="6"/>
      <c r="Q647" s="6"/>
      <c r="R647" s="4"/>
      <c r="S647" s="4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4"/>
      <c r="G648" s="4"/>
      <c r="H648" s="5"/>
      <c r="I648" s="5"/>
      <c r="J648" s="5"/>
      <c r="K648" s="2"/>
      <c r="L648" s="2"/>
      <c r="M648" s="2"/>
      <c r="N648" s="6"/>
      <c r="O648" s="6"/>
      <c r="P648" s="6"/>
      <c r="Q648" s="6"/>
      <c r="R648" s="4"/>
      <c r="S648" s="4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4"/>
      <c r="G649" s="4"/>
      <c r="H649" s="5"/>
      <c r="I649" s="5"/>
      <c r="J649" s="5"/>
      <c r="K649" s="2"/>
      <c r="L649" s="2"/>
      <c r="M649" s="2"/>
      <c r="N649" s="6"/>
      <c r="O649" s="6"/>
      <c r="P649" s="6"/>
      <c r="Q649" s="6"/>
      <c r="R649" s="4"/>
      <c r="S649" s="4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4"/>
      <c r="G650" s="4"/>
      <c r="H650" s="5"/>
      <c r="I650" s="5"/>
      <c r="J650" s="5"/>
      <c r="K650" s="2"/>
      <c r="L650" s="2"/>
      <c r="M650" s="2"/>
      <c r="N650" s="6"/>
      <c r="O650" s="6"/>
      <c r="P650" s="6"/>
      <c r="Q650" s="6"/>
      <c r="R650" s="4"/>
      <c r="S650" s="4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4"/>
      <c r="G651" s="4"/>
      <c r="H651" s="5"/>
      <c r="I651" s="5"/>
      <c r="J651" s="5"/>
      <c r="K651" s="2"/>
      <c r="L651" s="2"/>
      <c r="M651" s="2"/>
      <c r="N651" s="6"/>
      <c r="O651" s="6"/>
      <c r="P651" s="6"/>
      <c r="Q651" s="6"/>
      <c r="R651" s="4"/>
      <c r="S651" s="4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4"/>
      <c r="G652" s="4"/>
      <c r="H652" s="5"/>
      <c r="I652" s="5"/>
      <c r="J652" s="5"/>
      <c r="K652" s="2"/>
      <c r="L652" s="2"/>
      <c r="M652" s="2"/>
      <c r="N652" s="6"/>
      <c r="O652" s="6"/>
      <c r="P652" s="6"/>
      <c r="Q652" s="6"/>
      <c r="R652" s="4"/>
      <c r="S652" s="4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4"/>
      <c r="G653" s="4"/>
      <c r="H653" s="5"/>
      <c r="I653" s="5"/>
      <c r="J653" s="5"/>
      <c r="K653" s="2"/>
      <c r="L653" s="2"/>
      <c r="M653" s="2"/>
      <c r="N653" s="6"/>
      <c r="O653" s="6"/>
      <c r="P653" s="6"/>
      <c r="Q653" s="6"/>
      <c r="R653" s="4"/>
      <c r="S653" s="4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4"/>
      <c r="G654" s="4"/>
      <c r="H654" s="5"/>
      <c r="I654" s="5"/>
      <c r="J654" s="5"/>
      <c r="K654" s="2"/>
      <c r="L654" s="2"/>
      <c r="M654" s="2"/>
      <c r="N654" s="6"/>
      <c r="O654" s="6"/>
      <c r="P654" s="6"/>
      <c r="Q654" s="6"/>
      <c r="R654" s="4"/>
      <c r="S654" s="4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4"/>
      <c r="G655" s="4"/>
      <c r="H655" s="5"/>
      <c r="I655" s="5"/>
      <c r="J655" s="5"/>
      <c r="K655" s="2"/>
      <c r="L655" s="2"/>
      <c r="M655" s="2"/>
      <c r="N655" s="6"/>
      <c r="O655" s="6"/>
      <c r="P655" s="6"/>
      <c r="Q655" s="6"/>
      <c r="R655" s="4"/>
      <c r="S655" s="4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4"/>
      <c r="G656" s="4"/>
      <c r="H656" s="5"/>
      <c r="I656" s="5"/>
      <c r="J656" s="5"/>
      <c r="K656" s="2"/>
      <c r="L656" s="2"/>
      <c r="M656" s="2"/>
      <c r="N656" s="6"/>
      <c r="O656" s="6"/>
      <c r="P656" s="6"/>
      <c r="Q656" s="6"/>
      <c r="R656" s="4"/>
      <c r="S656" s="4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4"/>
      <c r="G657" s="4"/>
      <c r="H657" s="5"/>
      <c r="I657" s="5"/>
      <c r="J657" s="5"/>
      <c r="K657" s="2"/>
      <c r="L657" s="2"/>
      <c r="M657" s="2"/>
      <c r="N657" s="6"/>
      <c r="O657" s="6"/>
      <c r="P657" s="6"/>
      <c r="Q657" s="6"/>
      <c r="R657" s="4"/>
      <c r="S657" s="4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4"/>
      <c r="G658" s="4"/>
      <c r="H658" s="5"/>
      <c r="I658" s="5"/>
      <c r="J658" s="5"/>
      <c r="K658" s="2"/>
      <c r="L658" s="2"/>
      <c r="M658" s="2"/>
      <c r="N658" s="6"/>
      <c r="O658" s="6"/>
      <c r="P658" s="6"/>
      <c r="Q658" s="6"/>
      <c r="R658" s="4"/>
      <c r="S658" s="4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4"/>
      <c r="G659" s="4"/>
      <c r="H659" s="5"/>
      <c r="I659" s="5"/>
      <c r="J659" s="5"/>
      <c r="K659" s="2"/>
      <c r="L659" s="2"/>
      <c r="M659" s="2"/>
      <c r="N659" s="6"/>
      <c r="O659" s="6"/>
      <c r="P659" s="6"/>
      <c r="Q659" s="6"/>
      <c r="R659" s="4"/>
      <c r="S659" s="4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4"/>
      <c r="G660" s="4"/>
      <c r="H660" s="5"/>
      <c r="I660" s="5"/>
      <c r="J660" s="5"/>
      <c r="K660" s="2"/>
      <c r="L660" s="2"/>
      <c r="M660" s="2"/>
      <c r="N660" s="6"/>
      <c r="O660" s="6"/>
      <c r="P660" s="6"/>
      <c r="Q660" s="6"/>
      <c r="R660" s="4"/>
      <c r="S660" s="4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4"/>
      <c r="G661" s="4"/>
      <c r="H661" s="5"/>
      <c r="I661" s="5"/>
      <c r="J661" s="5"/>
      <c r="K661" s="2"/>
      <c r="L661" s="2"/>
      <c r="M661" s="2"/>
      <c r="N661" s="6"/>
      <c r="O661" s="6"/>
      <c r="P661" s="6"/>
      <c r="Q661" s="6"/>
      <c r="R661" s="4"/>
      <c r="S661" s="4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4"/>
      <c r="G662" s="4"/>
      <c r="H662" s="5"/>
      <c r="I662" s="5"/>
      <c r="J662" s="5"/>
      <c r="K662" s="2"/>
      <c r="L662" s="2"/>
      <c r="M662" s="2"/>
      <c r="N662" s="6"/>
      <c r="O662" s="6"/>
      <c r="P662" s="6"/>
      <c r="Q662" s="6"/>
      <c r="R662" s="4"/>
      <c r="S662" s="4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4"/>
      <c r="G663" s="4"/>
      <c r="H663" s="5"/>
      <c r="I663" s="5"/>
      <c r="J663" s="5"/>
      <c r="K663" s="2"/>
      <c r="L663" s="2"/>
      <c r="M663" s="2"/>
      <c r="N663" s="6"/>
      <c r="O663" s="6"/>
      <c r="P663" s="6"/>
      <c r="Q663" s="6"/>
      <c r="R663" s="4"/>
      <c r="S663" s="4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4"/>
      <c r="G664" s="4"/>
      <c r="H664" s="5"/>
      <c r="I664" s="5"/>
      <c r="J664" s="5"/>
      <c r="K664" s="2"/>
      <c r="L664" s="2"/>
      <c r="M664" s="2"/>
      <c r="N664" s="6"/>
      <c r="O664" s="6"/>
      <c r="P664" s="6"/>
      <c r="Q664" s="6"/>
      <c r="R664" s="4"/>
      <c r="S664" s="4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4"/>
      <c r="G665" s="4"/>
      <c r="H665" s="5"/>
      <c r="I665" s="5"/>
      <c r="J665" s="5"/>
      <c r="K665" s="2"/>
      <c r="L665" s="2"/>
      <c r="M665" s="2"/>
      <c r="N665" s="6"/>
      <c r="O665" s="6"/>
      <c r="P665" s="6"/>
      <c r="Q665" s="6"/>
      <c r="R665" s="4"/>
      <c r="S665" s="4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4"/>
      <c r="G666" s="4"/>
      <c r="H666" s="5"/>
      <c r="I666" s="5"/>
      <c r="J666" s="5"/>
      <c r="K666" s="2"/>
      <c r="L666" s="2"/>
      <c r="M666" s="2"/>
      <c r="N666" s="6"/>
      <c r="O666" s="6"/>
      <c r="P666" s="6"/>
      <c r="Q666" s="6"/>
      <c r="R666" s="4"/>
      <c r="S666" s="4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4"/>
      <c r="G667" s="4"/>
      <c r="H667" s="5"/>
      <c r="I667" s="5"/>
      <c r="J667" s="5"/>
      <c r="K667" s="2"/>
      <c r="L667" s="2"/>
      <c r="M667" s="2"/>
      <c r="N667" s="6"/>
      <c r="O667" s="6"/>
      <c r="P667" s="6"/>
      <c r="Q667" s="6"/>
      <c r="R667" s="4"/>
      <c r="S667" s="4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4"/>
      <c r="G668" s="4"/>
      <c r="H668" s="5"/>
      <c r="I668" s="5"/>
      <c r="J668" s="5"/>
      <c r="K668" s="2"/>
      <c r="L668" s="2"/>
      <c r="M668" s="2"/>
      <c r="N668" s="6"/>
      <c r="O668" s="6"/>
      <c r="P668" s="6"/>
      <c r="Q668" s="6"/>
      <c r="R668" s="4"/>
      <c r="S668" s="4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4"/>
      <c r="G669" s="4"/>
      <c r="H669" s="5"/>
      <c r="I669" s="5"/>
      <c r="J669" s="5"/>
      <c r="K669" s="2"/>
      <c r="L669" s="2"/>
      <c r="M669" s="2"/>
      <c r="N669" s="6"/>
      <c r="O669" s="6"/>
      <c r="P669" s="6"/>
      <c r="Q669" s="6"/>
      <c r="R669" s="4"/>
      <c r="S669" s="4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4"/>
      <c r="G670" s="4"/>
      <c r="H670" s="5"/>
      <c r="I670" s="5"/>
      <c r="J670" s="5"/>
      <c r="K670" s="2"/>
      <c r="L670" s="2"/>
      <c r="M670" s="2"/>
      <c r="N670" s="6"/>
      <c r="O670" s="6"/>
      <c r="P670" s="6"/>
      <c r="Q670" s="6"/>
      <c r="R670" s="4"/>
      <c r="S670" s="4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4"/>
      <c r="G671" s="4"/>
      <c r="H671" s="5"/>
      <c r="I671" s="5"/>
      <c r="J671" s="5"/>
      <c r="K671" s="2"/>
      <c r="L671" s="2"/>
      <c r="M671" s="2"/>
      <c r="N671" s="6"/>
      <c r="O671" s="6"/>
      <c r="P671" s="6"/>
      <c r="Q671" s="6"/>
      <c r="R671" s="4"/>
      <c r="S671" s="4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4"/>
      <c r="G672" s="4"/>
      <c r="H672" s="5"/>
      <c r="I672" s="5"/>
      <c r="J672" s="5"/>
      <c r="K672" s="2"/>
      <c r="L672" s="2"/>
      <c r="M672" s="2"/>
      <c r="N672" s="6"/>
      <c r="O672" s="6"/>
      <c r="P672" s="6"/>
      <c r="Q672" s="6"/>
      <c r="R672" s="4"/>
      <c r="S672" s="4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4"/>
      <c r="G673" s="4"/>
      <c r="H673" s="5"/>
      <c r="I673" s="5"/>
      <c r="J673" s="5"/>
      <c r="K673" s="2"/>
      <c r="L673" s="2"/>
      <c r="M673" s="2"/>
      <c r="N673" s="6"/>
      <c r="O673" s="6"/>
      <c r="P673" s="6"/>
      <c r="Q673" s="6"/>
      <c r="R673" s="4"/>
      <c r="S673" s="4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4"/>
      <c r="G674" s="4"/>
      <c r="H674" s="5"/>
      <c r="I674" s="5"/>
      <c r="J674" s="5"/>
      <c r="K674" s="2"/>
      <c r="L674" s="2"/>
      <c r="M674" s="2"/>
      <c r="N674" s="6"/>
      <c r="O674" s="6"/>
      <c r="P674" s="6"/>
      <c r="Q674" s="6"/>
      <c r="R674" s="4"/>
      <c r="S674" s="4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4"/>
      <c r="G675" s="4"/>
      <c r="H675" s="5"/>
      <c r="I675" s="5"/>
      <c r="J675" s="5"/>
      <c r="K675" s="2"/>
      <c r="L675" s="2"/>
      <c r="M675" s="2"/>
      <c r="N675" s="6"/>
      <c r="O675" s="6"/>
      <c r="P675" s="6"/>
      <c r="Q675" s="6"/>
      <c r="R675" s="4"/>
      <c r="S675" s="4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4"/>
      <c r="G676" s="4"/>
      <c r="H676" s="5"/>
      <c r="I676" s="5"/>
      <c r="J676" s="5"/>
      <c r="K676" s="2"/>
      <c r="L676" s="2"/>
      <c r="M676" s="2"/>
      <c r="N676" s="6"/>
      <c r="O676" s="6"/>
      <c r="P676" s="6"/>
      <c r="Q676" s="6"/>
      <c r="R676" s="4"/>
      <c r="S676" s="4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4"/>
      <c r="G677" s="4"/>
      <c r="H677" s="5"/>
      <c r="I677" s="5"/>
      <c r="J677" s="5"/>
      <c r="K677" s="2"/>
      <c r="L677" s="2"/>
      <c r="M677" s="2"/>
      <c r="N677" s="6"/>
      <c r="O677" s="6"/>
      <c r="P677" s="6"/>
      <c r="Q677" s="6"/>
      <c r="R677" s="4"/>
      <c r="S677" s="4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4"/>
      <c r="G678" s="4"/>
      <c r="H678" s="5"/>
      <c r="I678" s="5"/>
      <c r="J678" s="5"/>
      <c r="K678" s="2"/>
      <c r="L678" s="2"/>
      <c r="M678" s="2"/>
      <c r="N678" s="6"/>
      <c r="O678" s="6"/>
      <c r="P678" s="6"/>
      <c r="Q678" s="6"/>
      <c r="R678" s="4"/>
      <c r="S678" s="4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4"/>
      <c r="G679" s="4"/>
      <c r="H679" s="5"/>
      <c r="I679" s="5"/>
      <c r="J679" s="5"/>
      <c r="K679" s="2"/>
      <c r="L679" s="2"/>
      <c r="M679" s="2"/>
      <c r="N679" s="6"/>
      <c r="O679" s="6"/>
      <c r="P679" s="6"/>
      <c r="Q679" s="6"/>
      <c r="R679" s="4"/>
      <c r="S679" s="4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4"/>
      <c r="G680" s="4"/>
      <c r="H680" s="5"/>
      <c r="I680" s="5"/>
      <c r="J680" s="5"/>
      <c r="K680" s="2"/>
      <c r="L680" s="2"/>
      <c r="M680" s="2"/>
      <c r="N680" s="6"/>
      <c r="O680" s="6"/>
      <c r="P680" s="6"/>
      <c r="Q680" s="6"/>
      <c r="R680" s="4"/>
      <c r="S680" s="4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4"/>
      <c r="G681" s="4"/>
      <c r="H681" s="5"/>
      <c r="I681" s="5"/>
      <c r="J681" s="5"/>
      <c r="K681" s="2"/>
      <c r="L681" s="2"/>
      <c r="M681" s="2"/>
      <c r="N681" s="6"/>
      <c r="O681" s="6"/>
      <c r="P681" s="6"/>
      <c r="Q681" s="6"/>
      <c r="R681" s="4"/>
      <c r="S681" s="4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4"/>
      <c r="G682" s="4"/>
      <c r="H682" s="5"/>
      <c r="I682" s="5"/>
      <c r="J682" s="5"/>
      <c r="K682" s="2"/>
      <c r="L682" s="2"/>
      <c r="M682" s="2"/>
      <c r="N682" s="6"/>
      <c r="O682" s="6"/>
      <c r="P682" s="6"/>
      <c r="Q682" s="6"/>
      <c r="R682" s="4"/>
      <c r="S682" s="4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4"/>
      <c r="G683" s="4"/>
      <c r="H683" s="5"/>
      <c r="I683" s="5"/>
      <c r="J683" s="5"/>
      <c r="K683" s="2"/>
      <c r="L683" s="2"/>
      <c r="M683" s="2"/>
      <c r="N683" s="6"/>
      <c r="O683" s="6"/>
      <c r="P683" s="6"/>
      <c r="Q683" s="6"/>
      <c r="R683" s="4"/>
      <c r="S683" s="4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4"/>
      <c r="G684" s="4"/>
      <c r="H684" s="5"/>
      <c r="I684" s="5"/>
      <c r="J684" s="5"/>
      <c r="K684" s="2"/>
      <c r="L684" s="2"/>
      <c r="M684" s="2"/>
      <c r="N684" s="6"/>
      <c r="O684" s="6"/>
      <c r="P684" s="6"/>
      <c r="Q684" s="6"/>
      <c r="R684" s="4"/>
      <c r="S684" s="4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4"/>
      <c r="G685" s="4"/>
      <c r="H685" s="5"/>
      <c r="I685" s="5"/>
      <c r="J685" s="5"/>
      <c r="K685" s="2"/>
      <c r="L685" s="2"/>
      <c r="M685" s="2"/>
      <c r="N685" s="6"/>
      <c r="O685" s="6"/>
      <c r="P685" s="6"/>
      <c r="Q685" s="6"/>
      <c r="R685" s="4"/>
      <c r="S685" s="4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4"/>
      <c r="G686" s="4"/>
      <c r="H686" s="5"/>
      <c r="I686" s="5"/>
      <c r="J686" s="5"/>
      <c r="K686" s="2"/>
      <c r="L686" s="2"/>
      <c r="M686" s="2"/>
      <c r="N686" s="6"/>
      <c r="O686" s="6"/>
      <c r="P686" s="6"/>
      <c r="Q686" s="6"/>
      <c r="R686" s="4"/>
      <c r="S686" s="4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4"/>
      <c r="G687" s="4"/>
      <c r="H687" s="5"/>
      <c r="I687" s="5"/>
      <c r="J687" s="5"/>
      <c r="K687" s="2"/>
      <c r="L687" s="2"/>
      <c r="M687" s="2"/>
      <c r="N687" s="6"/>
      <c r="O687" s="6"/>
      <c r="P687" s="6"/>
      <c r="Q687" s="6"/>
      <c r="R687" s="4"/>
      <c r="S687" s="4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4"/>
      <c r="G688" s="4"/>
      <c r="H688" s="5"/>
      <c r="I688" s="5"/>
      <c r="J688" s="5"/>
      <c r="K688" s="2"/>
      <c r="L688" s="2"/>
      <c r="M688" s="2"/>
      <c r="N688" s="6"/>
      <c r="O688" s="6"/>
      <c r="P688" s="6"/>
      <c r="Q688" s="6"/>
      <c r="R688" s="4"/>
      <c r="S688" s="4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4"/>
      <c r="G689" s="4"/>
      <c r="H689" s="5"/>
      <c r="I689" s="5"/>
      <c r="J689" s="5"/>
      <c r="K689" s="2"/>
      <c r="L689" s="2"/>
      <c r="M689" s="2"/>
      <c r="N689" s="6"/>
      <c r="O689" s="6"/>
      <c r="P689" s="6"/>
      <c r="Q689" s="6"/>
      <c r="R689" s="4"/>
      <c r="S689" s="4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4"/>
      <c r="G690" s="4"/>
      <c r="H690" s="5"/>
      <c r="I690" s="5"/>
      <c r="J690" s="5"/>
      <c r="K690" s="2"/>
      <c r="L690" s="2"/>
      <c r="M690" s="2"/>
      <c r="N690" s="6"/>
      <c r="O690" s="6"/>
      <c r="P690" s="6"/>
      <c r="Q690" s="6"/>
      <c r="R690" s="4"/>
      <c r="S690" s="4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4"/>
      <c r="G691" s="4"/>
      <c r="H691" s="5"/>
      <c r="I691" s="5"/>
      <c r="J691" s="5"/>
      <c r="K691" s="2"/>
      <c r="L691" s="2"/>
      <c r="M691" s="2"/>
      <c r="N691" s="6"/>
      <c r="O691" s="6"/>
      <c r="P691" s="6"/>
      <c r="Q691" s="6"/>
      <c r="R691" s="4"/>
      <c r="S691" s="4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4"/>
      <c r="G692" s="4"/>
      <c r="H692" s="5"/>
      <c r="I692" s="5"/>
      <c r="J692" s="5"/>
      <c r="K692" s="2"/>
      <c r="L692" s="2"/>
      <c r="M692" s="2"/>
      <c r="N692" s="6"/>
      <c r="O692" s="6"/>
      <c r="P692" s="6"/>
      <c r="Q692" s="6"/>
      <c r="R692" s="4"/>
      <c r="S692" s="4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4"/>
      <c r="G693" s="4"/>
      <c r="H693" s="5"/>
      <c r="I693" s="5"/>
      <c r="J693" s="5"/>
      <c r="K693" s="2"/>
      <c r="L693" s="2"/>
      <c r="M693" s="2"/>
      <c r="N693" s="6"/>
      <c r="O693" s="6"/>
      <c r="P693" s="6"/>
      <c r="Q693" s="6"/>
      <c r="R693" s="4"/>
      <c r="S693" s="4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4"/>
      <c r="G694" s="4"/>
      <c r="H694" s="5"/>
      <c r="I694" s="5"/>
      <c r="J694" s="5"/>
      <c r="K694" s="2"/>
      <c r="L694" s="2"/>
      <c r="M694" s="2"/>
      <c r="N694" s="6"/>
      <c r="O694" s="6"/>
      <c r="P694" s="6"/>
      <c r="Q694" s="6"/>
      <c r="R694" s="4"/>
      <c r="S694" s="4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4"/>
      <c r="G695" s="4"/>
      <c r="H695" s="5"/>
      <c r="I695" s="5"/>
      <c r="J695" s="5"/>
      <c r="K695" s="2"/>
      <c r="L695" s="2"/>
      <c r="M695" s="2"/>
      <c r="N695" s="6"/>
      <c r="O695" s="6"/>
      <c r="P695" s="6"/>
      <c r="Q695" s="6"/>
      <c r="R695" s="4"/>
      <c r="S695" s="4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4"/>
      <c r="G696" s="4"/>
      <c r="H696" s="5"/>
      <c r="I696" s="5"/>
      <c r="J696" s="5"/>
      <c r="K696" s="2"/>
      <c r="L696" s="2"/>
      <c r="M696" s="2"/>
      <c r="N696" s="6"/>
      <c r="O696" s="6"/>
      <c r="P696" s="6"/>
      <c r="Q696" s="6"/>
      <c r="R696" s="4"/>
      <c r="S696" s="4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4"/>
      <c r="G697" s="4"/>
      <c r="H697" s="5"/>
      <c r="I697" s="5"/>
      <c r="J697" s="5"/>
      <c r="K697" s="2"/>
      <c r="L697" s="2"/>
      <c r="M697" s="2"/>
      <c r="N697" s="6"/>
      <c r="O697" s="6"/>
      <c r="P697" s="6"/>
      <c r="Q697" s="6"/>
      <c r="R697" s="4"/>
      <c r="S697" s="4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4"/>
      <c r="G698" s="4"/>
      <c r="H698" s="5"/>
      <c r="I698" s="5"/>
      <c r="J698" s="5"/>
      <c r="K698" s="2"/>
      <c r="L698" s="2"/>
      <c r="M698" s="2"/>
      <c r="N698" s="6"/>
      <c r="O698" s="6"/>
      <c r="P698" s="6"/>
      <c r="Q698" s="6"/>
      <c r="R698" s="4"/>
      <c r="S698" s="4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4"/>
      <c r="G699" s="4"/>
      <c r="H699" s="5"/>
      <c r="I699" s="5"/>
      <c r="J699" s="5"/>
      <c r="K699" s="2"/>
      <c r="L699" s="2"/>
      <c r="M699" s="2"/>
      <c r="N699" s="6"/>
      <c r="O699" s="6"/>
      <c r="P699" s="6"/>
      <c r="Q699" s="6"/>
      <c r="R699" s="4"/>
      <c r="S699" s="4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4"/>
      <c r="G700" s="4"/>
      <c r="H700" s="5"/>
      <c r="I700" s="5"/>
      <c r="J700" s="5"/>
      <c r="K700" s="2"/>
      <c r="L700" s="2"/>
      <c r="M700" s="2"/>
      <c r="N700" s="6"/>
      <c r="O700" s="6"/>
      <c r="P700" s="6"/>
      <c r="Q700" s="6"/>
      <c r="R700" s="4"/>
      <c r="S700" s="4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4"/>
      <c r="G701" s="4"/>
      <c r="H701" s="5"/>
      <c r="I701" s="5"/>
      <c r="J701" s="5"/>
      <c r="K701" s="2"/>
      <c r="L701" s="2"/>
      <c r="M701" s="2"/>
      <c r="N701" s="6"/>
      <c r="O701" s="6"/>
      <c r="P701" s="6"/>
      <c r="Q701" s="6"/>
      <c r="R701" s="4"/>
      <c r="S701" s="4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4"/>
      <c r="G702" s="4"/>
      <c r="H702" s="5"/>
      <c r="I702" s="5"/>
      <c r="J702" s="5"/>
      <c r="K702" s="2"/>
      <c r="L702" s="2"/>
      <c r="M702" s="2"/>
      <c r="N702" s="6"/>
      <c r="O702" s="6"/>
      <c r="P702" s="6"/>
      <c r="Q702" s="6"/>
      <c r="R702" s="4"/>
      <c r="S702" s="4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4"/>
      <c r="G703" s="4"/>
      <c r="H703" s="5"/>
      <c r="I703" s="5"/>
      <c r="J703" s="5"/>
      <c r="K703" s="2"/>
      <c r="L703" s="2"/>
      <c r="M703" s="2"/>
      <c r="N703" s="6"/>
      <c r="O703" s="6"/>
      <c r="P703" s="6"/>
      <c r="Q703" s="6"/>
      <c r="R703" s="4"/>
      <c r="S703" s="4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4"/>
      <c r="G704" s="4"/>
      <c r="H704" s="5"/>
      <c r="I704" s="5"/>
      <c r="J704" s="5"/>
      <c r="K704" s="2"/>
      <c r="L704" s="2"/>
      <c r="M704" s="2"/>
      <c r="N704" s="6"/>
      <c r="O704" s="6"/>
      <c r="P704" s="6"/>
      <c r="Q704" s="6"/>
      <c r="R704" s="4"/>
      <c r="S704" s="4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4"/>
      <c r="G705" s="4"/>
      <c r="H705" s="5"/>
      <c r="I705" s="5"/>
      <c r="J705" s="5"/>
      <c r="K705" s="2"/>
      <c r="L705" s="2"/>
      <c r="M705" s="2"/>
      <c r="N705" s="6"/>
      <c r="O705" s="6"/>
      <c r="P705" s="6"/>
      <c r="Q705" s="6"/>
      <c r="R705" s="4"/>
      <c r="S705" s="4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4"/>
      <c r="G706" s="4"/>
      <c r="H706" s="5"/>
      <c r="I706" s="5"/>
      <c r="J706" s="5"/>
      <c r="K706" s="2"/>
      <c r="L706" s="2"/>
      <c r="M706" s="2"/>
      <c r="N706" s="6"/>
      <c r="O706" s="6"/>
      <c r="P706" s="6"/>
      <c r="Q706" s="6"/>
      <c r="R706" s="4"/>
      <c r="S706" s="4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4"/>
      <c r="G707" s="4"/>
      <c r="H707" s="5"/>
      <c r="I707" s="5"/>
      <c r="J707" s="5"/>
      <c r="K707" s="2"/>
      <c r="L707" s="2"/>
      <c r="M707" s="2"/>
      <c r="N707" s="6"/>
      <c r="O707" s="6"/>
      <c r="P707" s="6"/>
      <c r="Q707" s="6"/>
      <c r="R707" s="4"/>
      <c r="S707" s="4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4"/>
      <c r="G708" s="4"/>
      <c r="H708" s="5"/>
      <c r="I708" s="5"/>
      <c r="J708" s="5"/>
      <c r="K708" s="2"/>
      <c r="L708" s="2"/>
      <c r="M708" s="2"/>
      <c r="N708" s="6"/>
      <c r="O708" s="6"/>
      <c r="P708" s="6"/>
      <c r="Q708" s="6"/>
      <c r="R708" s="4"/>
      <c r="S708" s="4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4"/>
      <c r="G709" s="4"/>
      <c r="H709" s="5"/>
      <c r="I709" s="5"/>
      <c r="J709" s="5"/>
      <c r="K709" s="2"/>
      <c r="L709" s="2"/>
      <c r="M709" s="2"/>
      <c r="N709" s="6"/>
      <c r="O709" s="6"/>
      <c r="P709" s="6"/>
      <c r="Q709" s="6"/>
      <c r="R709" s="4"/>
      <c r="S709" s="4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4"/>
      <c r="G710" s="4"/>
      <c r="H710" s="5"/>
      <c r="I710" s="5"/>
      <c r="J710" s="5"/>
      <c r="K710" s="2"/>
      <c r="L710" s="2"/>
      <c r="M710" s="2"/>
      <c r="N710" s="6"/>
      <c r="O710" s="6"/>
      <c r="P710" s="6"/>
      <c r="Q710" s="6"/>
      <c r="R710" s="4"/>
      <c r="S710" s="4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4"/>
      <c r="G711" s="4"/>
      <c r="H711" s="5"/>
      <c r="I711" s="5"/>
      <c r="J711" s="5"/>
      <c r="K711" s="2"/>
      <c r="L711" s="2"/>
      <c r="M711" s="2"/>
      <c r="N711" s="6"/>
      <c r="O711" s="6"/>
      <c r="P711" s="6"/>
      <c r="Q711" s="6"/>
      <c r="R711" s="4"/>
      <c r="S711" s="4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4"/>
      <c r="G712" s="4"/>
      <c r="H712" s="5"/>
      <c r="I712" s="5"/>
      <c r="J712" s="5"/>
      <c r="K712" s="2"/>
      <c r="L712" s="2"/>
      <c r="M712" s="2"/>
      <c r="N712" s="6"/>
      <c r="O712" s="6"/>
      <c r="P712" s="6"/>
      <c r="Q712" s="6"/>
      <c r="R712" s="4"/>
      <c r="S712" s="4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4"/>
      <c r="G713" s="4"/>
      <c r="H713" s="5"/>
      <c r="I713" s="5"/>
      <c r="J713" s="5"/>
      <c r="K713" s="2"/>
      <c r="L713" s="2"/>
      <c r="M713" s="2"/>
      <c r="N713" s="6"/>
      <c r="O713" s="6"/>
      <c r="P713" s="6"/>
      <c r="Q713" s="6"/>
      <c r="R713" s="4"/>
      <c r="S713" s="4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4"/>
      <c r="G714" s="4"/>
      <c r="H714" s="5"/>
      <c r="I714" s="5"/>
      <c r="J714" s="5"/>
      <c r="K714" s="2"/>
      <c r="L714" s="2"/>
      <c r="M714" s="2"/>
      <c r="N714" s="6"/>
      <c r="O714" s="6"/>
      <c r="P714" s="6"/>
      <c r="Q714" s="6"/>
      <c r="R714" s="4"/>
      <c r="S714" s="4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4"/>
      <c r="G715" s="4"/>
      <c r="H715" s="5"/>
      <c r="I715" s="5"/>
      <c r="J715" s="5"/>
      <c r="K715" s="2"/>
      <c r="L715" s="2"/>
      <c r="M715" s="2"/>
      <c r="N715" s="6"/>
      <c r="O715" s="6"/>
      <c r="P715" s="6"/>
      <c r="Q715" s="6"/>
      <c r="R715" s="4"/>
      <c r="S715" s="4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4"/>
      <c r="G716" s="4"/>
      <c r="H716" s="5"/>
      <c r="I716" s="5"/>
      <c r="J716" s="5"/>
      <c r="K716" s="2"/>
      <c r="L716" s="2"/>
      <c r="M716" s="2"/>
      <c r="N716" s="6"/>
      <c r="O716" s="6"/>
      <c r="P716" s="6"/>
      <c r="Q716" s="6"/>
      <c r="R716" s="4"/>
      <c r="S716" s="4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4"/>
      <c r="G717" s="4"/>
      <c r="H717" s="5"/>
      <c r="I717" s="5"/>
      <c r="J717" s="5"/>
      <c r="K717" s="2"/>
      <c r="L717" s="2"/>
      <c r="M717" s="2"/>
      <c r="N717" s="6"/>
      <c r="O717" s="6"/>
      <c r="P717" s="6"/>
      <c r="Q717" s="6"/>
      <c r="R717" s="4"/>
      <c r="S717" s="4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4"/>
      <c r="G718" s="4"/>
      <c r="H718" s="5"/>
      <c r="I718" s="5"/>
      <c r="J718" s="5"/>
      <c r="K718" s="2"/>
      <c r="L718" s="2"/>
      <c r="M718" s="2"/>
      <c r="N718" s="6"/>
      <c r="O718" s="6"/>
      <c r="P718" s="6"/>
      <c r="Q718" s="6"/>
      <c r="R718" s="4"/>
      <c r="S718" s="4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4"/>
      <c r="G719" s="4"/>
      <c r="H719" s="5"/>
      <c r="I719" s="5"/>
      <c r="J719" s="5"/>
      <c r="K719" s="2"/>
      <c r="L719" s="2"/>
      <c r="M719" s="2"/>
      <c r="N719" s="6"/>
      <c r="O719" s="6"/>
      <c r="P719" s="6"/>
      <c r="Q719" s="6"/>
      <c r="R719" s="4"/>
      <c r="S719" s="4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4"/>
      <c r="G720" s="4"/>
      <c r="H720" s="5"/>
      <c r="I720" s="5"/>
      <c r="J720" s="5"/>
      <c r="K720" s="2"/>
      <c r="L720" s="2"/>
      <c r="M720" s="2"/>
      <c r="N720" s="6"/>
      <c r="O720" s="6"/>
      <c r="P720" s="6"/>
      <c r="Q720" s="6"/>
      <c r="R720" s="4"/>
      <c r="S720" s="4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4"/>
      <c r="G721" s="4"/>
      <c r="H721" s="5"/>
      <c r="I721" s="5"/>
      <c r="J721" s="5"/>
      <c r="K721" s="2"/>
      <c r="L721" s="2"/>
      <c r="M721" s="2"/>
      <c r="N721" s="6"/>
      <c r="O721" s="6"/>
      <c r="P721" s="6"/>
      <c r="Q721" s="6"/>
      <c r="R721" s="4"/>
      <c r="S721" s="4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4"/>
      <c r="G722" s="4"/>
      <c r="H722" s="5"/>
      <c r="I722" s="5"/>
      <c r="J722" s="5"/>
      <c r="K722" s="2"/>
      <c r="L722" s="2"/>
      <c r="M722" s="2"/>
      <c r="N722" s="6"/>
      <c r="O722" s="6"/>
      <c r="P722" s="6"/>
      <c r="Q722" s="6"/>
      <c r="R722" s="4"/>
      <c r="S722" s="4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4"/>
      <c r="G723" s="4"/>
      <c r="H723" s="5"/>
      <c r="I723" s="5"/>
      <c r="J723" s="5"/>
      <c r="K723" s="2"/>
      <c r="L723" s="2"/>
      <c r="M723" s="2"/>
      <c r="N723" s="6"/>
      <c r="O723" s="6"/>
      <c r="P723" s="6"/>
      <c r="Q723" s="6"/>
      <c r="R723" s="4"/>
      <c r="S723" s="4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4"/>
      <c r="G724" s="4"/>
      <c r="H724" s="5"/>
      <c r="I724" s="5"/>
      <c r="J724" s="5"/>
      <c r="K724" s="2"/>
      <c r="L724" s="2"/>
      <c r="M724" s="2"/>
      <c r="N724" s="6"/>
      <c r="O724" s="6"/>
      <c r="P724" s="6"/>
      <c r="Q724" s="6"/>
      <c r="R724" s="4"/>
      <c r="S724" s="4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4"/>
      <c r="G725" s="4"/>
      <c r="H725" s="5"/>
      <c r="I725" s="5"/>
      <c r="J725" s="5"/>
      <c r="K725" s="2"/>
      <c r="L725" s="2"/>
      <c r="M725" s="2"/>
      <c r="N725" s="6"/>
      <c r="O725" s="6"/>
      <c r="P725" s="6"/>
      <c r="Q725" s="6"/>
      <c r="R725" s="4"/>
      <c r="S725" s="4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4"/>
      <c r="G726" s="4"/>
      <c r="H726" s="5"/>
      <c r="I726" s="5"/>
      <c r="J726" s="5"/>
      <c r="K726" s="2"/>
      <c r="L726" s="2"/>
      <c r="M726" s="2"/>
      <c r="N726" s="6"/>
      <c r="O726" s="6"/>
      <c r="P726" s="6"/>
      <c r="Q726" s="6"/>
      <c r="R726" s="4"/>
      <c r="S726" s="4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4"/>
      <c r="G727" s="4"/>
      <c r="H727" s="5"/>
      <c r="I727" s="5"/>
      <c r="J727" s="5"/>
      <c r="K727" s="2"/>
      <c r="L727" s="2"/>
      <c r="M727" s="2"/>
      <c r="N727" s="6"/>
      <c r="O727" s="6"/>
      <c r="P727" s="6"/>
      <c r="Q727" s="6"/>
      <c r="R727" s="4"/>
      <c r="S727" s="4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4"/>
      <c r="G728" s="4"/>
      <c r="H728" s="5"/>
      <c r="I728" s="5"/>
      <c r="J728" s="5"/>
      <c r="K728" s="2"/>
      <c r="L728" s="2"/>
      <c r="M728" s="2"/>
      <c r="N728" s="6"/>
      <c r="O728" s="6"/>
      <c r="P728" s="6"/>
      <c r="Q728" s="6"/>
      <c r="R728" s="4"/>
      <c r="S728" s="4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4"/>
      <c r="G729" s="4"/>
      <c r="H729" s="5"/>
      <c r="I729" s="5"/>
      <c r="J729" s="5"/>
      <c r="K729" s="2"/>
      <c r="L729" s="2"/>
      <c r="M729" s="2"/>
      <c r="N729" s="6"/>
      <c r="O729" s="6"/>
      <c r="P729" s="6"/>
      <c r="Q729" s="6"/>
      <c r="R729" s="4"/>
      <c r="S729" s="4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4"/>
      <c r="G730" s="4"/>
      <c r="H730" s="5"/>
      <c r="I730" s="5"/>
      <c r="J730" s="5"/>
      <c r="K730" s="2"/>
      <c r="L730" s="2"/>
      <c r="M730" s="2"/>
      <c r="N730" s="6"/>
      <c r="O730" s="6"/>
      <c r="P730" s="6"/>
      <c r="Q730" s="6"/>
      <c r="R730" s="4"/>
      <c r="S730" s="4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4"/>
      <c r="G731" s="4"/>
      <c r="H731" s="5"/>
      <c r="I731" s="5"/>
      <c r="J731" s="5"/>
      <c r="K731" s="2"/>
      <c r="L731" s="2"/>
      <c r="M731" s="2"/>
      <c r="N731" s="6"/>
      <c r="O731" s="6"/>
      <c r="P731" s="6"/>
      <c r="Q731" s="6"/>
      <c r="R731" s="4"/>
      <c r="S731" s="4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4"/>
      <c r="G732" s="4"/>
      <c r="H732" s="5"/>
      <c r="I732" s="5"/>
      <c r="J732" s="5"/>
      <c r="K732" s="2"/>
      <c r="L732" s="2"/>
      <c r="M732" s="2"/>
      <c r="N732" s="6"/>
      <c r="O732" s="6"/>
      <c r="P732" s="6"/>
      <c r="Q732" s="6"/>
      <c r="R732" s="4"/>
      <c r="S732" s="4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4"/>
      <c r="G733" s="4"/>
      <c r="H733" s="5"/>
      <c r="I733" s="5"/>
      <c r="J733" s="5"/>
      <c r="K733" s="2"/>
      <c r="L733" s="2"/>
      <c r="M733" s="2"/>
      <c r="N733" s="6"/>
      <c r="O733" s="6"/>
      <c r="P733" s="6"/>
      <c r="Q733" s="6"/>
      <c r="R733" s="4"/>
      <c r="S733" s="4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4"/>
      <c r="G734" s="4"/>
      <c r="H734" s="5"/>
      <c r="I734" s="5"/>
      <c r="J734" s="5"/>
      <c r="K734" s="2"/>
      <c r="L734" s="2"/>
      <c r="M734" s="2"/>
      <c r="N734" s="6"/>
      <c r="O734" s="6"/>
      <c r="P734" s="6"/>
      <c r="Q734" s="6"/>
      <c r="R734" s="4"/>
      <c r="S734" s="4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4"/>
      <c r="G735" s="4"/>
      <c r="H735" s="5"/>
      <c r="I735" s="5"/>
      <c r="J735" s="5"/>
      <c r="K735" s="2"/>
      <c r="L735" s="2"/>
      <c r="M735" s="2"/>
      <c r="N735" s="6"/>
      <c r="O735" s="6"/>
      <c r="P735" s="6"/>
      <c r="Q735" s="6"/>
      <c r="R735" s="4"/>
      <c r="S735" s="4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4"/>
      <c r="G736" s="4"/>
      <c r="H736" s="5"/>
      <c r="I736" s="5"/>
      <c r="J736" s="5"/>
      <c r="K736" s="2"/>
      <c r="L736" s="2"/>
      <c r="M736" s="2"/>
      <c r="N736" s="6"/>
      <c r="O736" s="6"/>
      <c r="P736" s="6"/>
      <c r="Q736" s="6"/>
      <c r="R736" s="4"/>
      <c r="S736" s="4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4"/>
      <c r="G737" s="4"/>
      <c r="H737" s="5"/>
      <c r="I737" s="5"/>
      <c r="J737" s="5"/>
      <c r="K737" s="2"/>
      <c r="L737" s="2"/>
      <c r="M737" s="2"/>
      <c r="N737" s="6"/>
      <c r="O737" s="6"/>
      <c r="P737" s="6"/>
      <c r="Q737" s="6"/>
      <c r="R737" s="4"/>
      <c r="S737" s="4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4"/>
      <c r="G738" s="4"/>
      <c r="H738" s="5"/>
      <c r="I738" s="5"/>
      <c r="J738" s="5"/>
      <c r="K738" s="2"/>
      <c r="L738" s="2"/>
      <c r="M738" s="2"/>
      <c r="N738" s="6"/>
      <c r="O738" s="6"/>
      <c r="P738" s="6"/>
      <c r="Q738" s="6"/>
      <c r="R738" s="4"/>
      <c r="S738" s="4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4"/>
      <c r="G739" s="4"/>
      <c r="H739" s="5"/>
      <c r="I739" s="5"/>
      <c r="J739" s="5"/>
      <c r="K739" s="2"/>
      <c r="L739" s="2"/>
      <c r="M739" s="2"/>
      <c r="N739" s="6"/>
      <c r="O739" s="6"/>
      <c r="P739" s="6"/>
      <c r="Q739" s="6"/>
      <c r="R739" s="4"/>
      <c r="S739" s="4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4"/>
      <c r="G740" s="4"/>
      <c r="H740" s="5"/>
      <c r="I740" s="5"/>
      <c r="J740" s="5"/>
      <c r="K740" s="2"/>
      <c r="L740" s="2"/>
      <c r="M740" s="2"/>
      <c r="N740" s="6"/>
      <c r="O740" s="6"/>
      <c r="P740" s="6"/>
      <c r="Q740" s="6"/>
      <c r="R740" s="4"/>
      <c r="S740" s="4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4"/>
      <c r="G741" s="4"/>
      <c r="H741" s="5"/>
      <c r="I741" s="5"/>
      <c r="J741" s="5"/>
      <c r="K741" s="2"/>
      <c r="L741" s="2"/>
      <c r="M741" s="2"/>
      <c r="N741" s="6"/>
      <c r="O741" s="6"/>
      <c r="P741" s="6"/>
      <c r="Q741" s="6"/>
      <c r="R741" s="4"/>
      <c r="S741" s="4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4"/>
      <c r="G742" s="4"/>
      <c r="H742" s="5"/>
      <c r="I742" s="5"/>
      <c r="J742" s="5"/>
      <c r="K742" s="2"/>
      <c r="L742" s="2"/>
      <c r="M742" s="2"/>
      <c r="N742" s="6"/>
      <c r="O742" s="6"/>
      <c r="P742" s="6"/>
      <c r="Q742" s="6"/>
      <c r="R742" s="4"/>
      <c r="S742" s="4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4"/>
      <c r="G743" s="4"/>
      <c r="H743" s="5"/>
      <c r="I743" s="5"/>
      <c r="J743" s="5"/>
      <c r="K743" s="2"/>
      <c r="L743" s="2"/>
      <c r="M743" s="2"/>
      <c r="N743" s="6"/>
      <c r="O743" s="6"/>
      <c r="P743" s="6"/>
      <c r="Q743" s="6"/>
      <c r="R743" s="4"/>
      <c r="S743" s="4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4"/>
      <c r="G744" s="4"/>
      <c r="H744" s="5"/>
      <c r="I744" s="5"/>
      <c r="J744" s="5"/>
      <c r="K744" s="2"/>
      <c r="L744" s="2"/>
      <c r="M744" s="2"/>
      <c r="N744" s="6"/>
      <c r="O744" s="6"/>
      <c r="P744" s="6"/>
      <c r="Q744" s="6"/>
      <c r="R744" s="4"/>
      <c r="S744" s="4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4"/>
      <c r="G745" s="4"/>
      <c r="H745" s="5"/>
      <c r="I745" s="5"/>
      <c r="J745" s="5"/>
      <c r="K745" s="2"/>
      <c r="L745" s="2"/>
      <c r="M745" s="2"/>
      <c r="N745" s="6"/>
      <c r="O745" s="6"/>
      <c r="P745" s="6"/>
      <c r="Q745" s="6"/>
      <c r="R745" s="4"/>
      <c r="S745" s="4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4"/>
      <c r="G746" s="4"/>
      <c r="H746" s="5"/>
      <c r="I746" s="5"/>
      <c r="J746" s="5"/>
      <c r="K746" s="2"/>
      <c r="L746" s="2"/>
      <c r="M746" s="2"/>
      <c r="N746" s="6"/>
      <c r="O746" s="6"/>
      <c r="P746" s="6"/>
      <c r="Q746" s="6"/>
      <c r="R746" s="4"/>
      <c r="S746" s="4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4"/>
      <c r="G747" s="4"/>
      <c r="H747" s="5"/>
      <c r="I747" s="5"/>
      <c r="J747" s="5"/>
      <c r="K747" s="2"/>
      <c r="L747" s="2"/>
      <c r="M747" s="2"/>
      <c r="N747" s="6"/>
      <c r="O747" s="6"/>
      <c r="P747" s="6"/>
      <c r="Q747" s="6"/>
      <c r="R747" s="4"/>
      <c r="S747" s="4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4"/>
      <c r="G748" s="4"/>
      <c r="H748" s="5"/>
      <c r="I748" s="5"/>
      <c r="J748" s="5"/>
      <c r="K748" s="2"/>
      <c r="L748" s="2"/>
      <c r="M748" s="2"/>
      <c r="N748" s="6"/>
      <c r="O748" s="6"/>
      <c r="P748" s="6"/>
      <c r="Q748" s="6"/>
      <c r="R748" s="4"/>
      <c r="S748" s="4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4"/>
      <c r="G749" s="4"/>
      <c r="H749" s="5"/>
      <c r="I749" s="5"/>
      <c r="J749" s="5"/>
      <c r="K749" s="2"/>
      <c r="L749" s="2"/>
      <c r="M749" s="2"/>
      <c r="N749" s="6"/>
      <c r="O749" s="6"/>
      <c r="P749" s="6"/>
      <c r="Q749" s="6"/>
      <c r="R749" s="4"/>
      <c r="S749" s="4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4"/>
      <c r="G750" s="4"/>
      <c r="H750" s="5"/>
      <c r="I750" s="5"/>
      <c r="J750" s="5"/>
      <c r="K750" s="2"/>
      <c r="L750" s="2"/>
      <c r="M750" s="2"/>
      <c r="N750" s="6"/>
      <c r="O750" s="6"/>
      <c r="P750" s="6"/>
      <c r="Q750" s="6"/>
      <c r="R750" s="4"/>
      <c r="S750" s="4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4"/>
      <c r="G751" s="4"/>
      <c r="H751" s="5"/>
      <c r="I751" s="5"/>
      <c r="J751" s="5"/>
      <c r="K751" s="2"/>
      <c r="L751" s="2"/>
      <c r="M751" s="2"/>
      <c r="N751" s="6"/>
      <c r="O751" s="6"/>
      <c r="P751" s="6"/>
      <c r="Q751" s="6"/>
      <c r="R751" s="4"/>
      <c r="S751" s="4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4"/>
      <c r="G752" s="4"/>
      <c r="H752" s="5"/>
      <c r="I752" s="5"/>
      <c r="J752" s="5"/>
      <c r="K752" s="2"/>
      <c r="L752" s="2"/>
      <c r="M752" s="2"/>
      <c r="N752" s="6"/>
      <c r="O752" s="6"/>
      <c r="P752" s="6"/>
      <c r="Q752" s="6"/>
      <c r="R752" s="4"/>
      <c r="S752" s="4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4"/>
      <c r="G753" s="4"/>
      <c r="H753" s="5"/>
      <c r="I753" s="5"/>
      <c r="J753" s="5"/>
      <c r="K753" s="2"/>
      <c r="L753" s="2"/>
      <c r="M753" s="2"/>
      <c r="N753" s="6"/>
      <c r="O753" s="6"/>
      <c r="P753" s="6"/>
      <c r="Q753" s="6"/>
      <c r="R753" s="4"/>
      <c r="S753" s="4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4"/>
      <c r="G754" s="4"/>
      <c r="H754" s="5"/>
      <c r="I754" s="5"/>
      <c r="J754" s="5"/>
      <c r="K754" s="2"/>
      <c r="L754" s="2"/>
      <c r="M754" s="2"/>
      <c r="N754" s="6"/>
      <c r="O754" s="6"/>
      <c r="P754" s="6"/>
      <c r="Q754" s="6"/>
      <c r="R754" s="4"/>
      <c r="S754" s="4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4"/>
      <c r="G755" s="4"/>
      <c r="H755" s="5"/>
      <c r="I755" s="5"/>
      <c r="J755" s="5"/>
      <c r="K755" s="2"/>
      <c r="L755" s="2"/>
      <c r="M755" s="2"/>
      <c r="N755" s="6"/>
      <c r="O755" s="6"/>
      <c r="P755" s="6"/>
      <c r="Q755" s="6"/>
      <c r="R755" s="4"/>
      <c r="S755" s="4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4"/>
      <c r="G756" s="4"/>
      <c r="H756" s="5"/>
      <c r="I756" s="5"/>
      <c r="J756" s="5"/>
      <c r="K756" s="2"/>
      <c r="L756" s="2"/>
      <c r="M756" s="2"/>
      <c r="N756" s="6"/>
      <c r="O756" s="6"/>
      <c r="P756" s="6"/>
      <c r="Q756" s="6"/>
      <c r="R756" s="4"/>
      <c r="S756" s="4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4"/>
      <c r="G757" s="4"/>
      <c r="H757" s="5"/>
      <c r="I757" s="5"/>
      <c r="J757" s="5"/>
      <c r="K757" s="2"/>
      <c r="L757" s="2"/>
      <c r="M757" s="2"/>
      <c r="N757" s="6"/>
      <c r="O757" s="6"/>
      <c r="P757" s="6"/>
      <c r="Q757" s="6"/>
      <c r="R757" s="4"/>
      <c r="S757" s="4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4"/>
      <c r="G758" s="4"/>
      <c r="H758" s="5"/>
      <c r="I758" s="5"/>
      <c r="J758" s="5"/>
      <c r="K758" s="2"/>
      <c r="L758" s="2"/>
      <c r="M758" s="2"/>
      <c r="N758" s="6"/>
      <c r="O758" s="6"/>
      <c r="P758" s="6"/>
      <c r="Q758" s="6"/>
      <c r="R758" s="4"/>
      <c r="S758" s="4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4"/>
      <c r="G759" s="4"/>
      <c r="H759" s="5"/>
      <c r="I759" s="5"/>
      <c r="J759" s="5"/>
      <c r="K759" s="2"/>
      <c r="L759" s="2"/>
      <c r="M759" s="2"/>
      <c r="N759" s="6"/>
      <c r="O759" s="6"/>
      <c r="P759" s="6"/>
      <c r="Q759" s="6"/>
      <c r="R759" s="4"/>
      <c r="S759" s="4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4"/>
      <c r="G760" s="4"/>
      <c r="H760" s="5"/>
      <c r="I760" s="5"/>
      <c r="J760" s="5"/>
      <c r="K760" s="2"/>
      <c r="L760" s="2"/>
      <c r="M760" s="2"/>
      <c r="N760" s="6"/>
      <c r="O760" s="6"/>
      <c r="P760" s="6"/>
      <c r="Q760" s="6"/>
      <c r="R760" s="4"/>
      <c r="S760" s="4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4"/>
      <c r="G761" s="4"/>
      <c r="H761" s="5"/>
      <c r="I761" s="5"/>
      <c r="J761" s="5"/>
      <c r="K761" s="2"/>
      <c r="L761" s="2"/>
      <c r="M761" s="2"/>
      <c r="N761" s="6"/>
      <c r="O761" s="6"/>
      <c r="P761" s="6"/>
      <c r="Q761" s="6"/>
      <c r="R761" s="4"/>
      <c r="S761" s="4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4"/>
      <c r="G762" s="4"/>
      <c r="H762" s="5"/>
      <c r="I762" s="5"/>
      <c r="J762" s="5"/>
      <c r="K762" s="2"/>
      <c r="L762" s="2"/>
      <c r="M762" s="2"/>
      <c r="N762" s="6"/>
      <c r="O762" s="6"/>
      <c r="P762" s="6"/>
      <c r="Q762" s="6"/>
      <c r="R762" s="4"/>
      <c r="S762" s="4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4"/>
      <c r="G763" s="4"/>
      <c r="H763" s="5"/>
      <c r="I763" s="5"/>
      <c r="J763" s="5"/>
      <c r="K763" s="2"/>
      <c r="L763" s="2"/>
      <c r="M763" s="2"/>
      <c r="N763" s="6"/>
      <c r="O763" s="6"/>
      <c r="P763" s="6"/>
      <c r="Q763" s="6"/>
      <c r="R763" s="4"/>
      <c r="S763" s="4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4"/>
      <c r="G764" s="4"/>
      <c r="H764" s="5"/>
      <c r="I764" s="5"/>
      <c r="J764" s="5"/>
      <c r="K764" s="2"/>
      <c r="L764" s="2"/>
      <c r="M764" s="2"/>
      <c r="N764" s="6"/>
      <c r="O764" s="6"/>
      <c r="P764" s="6"/>
      <c r="Q764" s="6"/>
      <c r="R764" s="4"/>
      <c r="S764" s="4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4"/>
      <c r="G765" s="4"/>
      <c r="H765" s="5"/>
      <c r="I765" s="5"/>
      <c r="J765" s="5"/>
      <c r="K765" s="2"/>
      <c r="L765" s="2"/>
      <c r="M765" s="2"/>
      <c r="N765" s="6"/>
      <c r="O765" s="6"/>
      <c r="P765" s="6"/>
      <c r="Q765" s="6"/>
      <c r="R765" s="4"/>
      <c r="S765" s="4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4"/>
      <c r="G766" s="4"/>
      <c r="H766" s="5"/>
      <c r="I766" s="5"/>
      <c r="J766" s="5"/>
      <c r="K766" s="2"/>
      <c r="L766" s="2"/>
      <c r="M766" s="2"/>
      <c r="N766" s="6"/>
      <c r="O766" s="6"/>
      <c r="P766" s="6"/>
      <c r="Q766" s="6"/>
      <c r="R766" s="4"/>
      <c r="S766" s="4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4"/>
      <c r="G767" s="4"/>
      <c r="H767" s="5"/>
      <c r="I767" s="5"/>
      <c r="J767" s="5"/>
      <c r="K767" s="2"/>
      <c r="L767" s="2"/>
      <c r="M767" s="2"/>
      <c r="N767" s="6"/>
      <c r="O767" s="6"/>
      <c r="P767" s="6"/>
      <c r="Q767" s="6"/>
      <c r="R767" s="4"/>
      <c r="S767" s="4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4"/>
      <c r="G768" s="4"/>
      <c r="H768" s="5"/>
      <c r="I768" s="5"/>
      <c r="J768" s="5"/>
      <c r="K768" s="2"/>
      <c r="L768" s="2"/>
      <c r="M768" s="2"/>
      <c r="N768" s="6"/>
      <c r="O768" s="6"/>
      <c r="P768" s="6"/>
      <c r="Q768" s="6"/>
      <c r="R768" s="4"/>
      <c r="S768" s="4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4"/>
      <c r="G769" s="4"/>
      <c r="H769" s="5"/>
      <c r="I769" s="5"/>
      <c r="J769" s="5"/>
      <c r="K769" s="2"/>
      <c r="L769" s="2"/>
      <c r="M769" s="2"/>
      <c r="N769" s="6"/>
      <c r="O769" s="6"/>
      <c r="P769" s="6"/>
      <c r="Q769" s="6"/>
      <c r="R769" s="4"/>
      <c r="S769" s="4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4"/>
      <c r="G770" s="4"/>
      <c r="H770" s="5"/>
      <c r="I770" s="5"/>
      <c r="J770" s="5"/>
      <c r="K770" s="2"/>
      <c r="L770" s="2"/>
      <c r="M770" s="2"/>
      <c r="N770" s="6"/>
      <c r="O770" s="6"/>
      <c r="P770" s="6"/>
      <c r="Q770" s="6"/>
      <c r="R770" s="4"/>
      <c r="S770" s="4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4"/>
      <c r="G771" s="4"/>
      <c r="H771" s="5"/>
      <c r="I771" s="5"/>
      <c r="J771" s="5"/>
      <c r="K771" s="2"/>
      <c r="L771" s="2"/>
      <c r="M771" s="2"/>
      <c r="N771" s="6"/>
      <c r="O771" s="6"/>
      <c r="P771" s="6"/>
      <c r="Q771" s="6"/>
      <c r="R771" s="4"/>
      <c r="S771" s="4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4"/>
      <c r="G772" s="4"/>
      <c r="H772" s="5"/>
      <c r="I772" s="5"/>
      <c r="J772" s="5"/>
      <c r="K772" s="2"/>
      <c r="L772" s="2"/>
      <c r="M772" s="2"/>
      <c r="N772" s="6"/>
      <c r="O772" s="6"/>
      <c r="P772" s="6"/>
      <c r="Q772" s="6"/>
      <c r="R772" s="4"/>
      <c r="S772" s="4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4"/>
      <c r="G773" s="4"/>
      <c r="H773" s="5"/>
      <c r="I773" s="5"/>
      <c r="J773" s="5"/>
      <c r="K773" s="2"/>
      <c r="L773" s="2"/>
      <c r="M773" s="2"/>
      <c r="N773" s="6"/>
      <c r="O773" s="6"/>
      <c r="P773" s="6"/>
      <c r="Q773" s="6"/>
      <c r="R773" s="4"/>
      <c r="S773" s="4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4"/>
      <c r="G774" s="4"/>
      <c r="H774" s="5"/>
      <c r="I774" s="5"/>
      <c r="J774" s="5"/>
      <c r="K774" s="2"/>
      <c r="L774" s="2"/>
      <c r="M774" s="2"/>
      <c r="N774" s="6"/>
      <c r="O774" s="6"/>
      <c r="P774" s="6"/>
      <c r="Q774" s="6"/>
      <c r="R774" s="4"/>
      <c r="S774" s="4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4"/>
      <c r="G775" s="4"/>
      <c r="H775" s="5"/>
      <c r="I775" s="5"/>
      <c r="J775" s="5"/>
      <c r="K775" s="2"/>
      <c r="L775" s="2"/>
      <c r="M775" s="2"/>
      <c r="N775" s="6"/>
      <c r="O775" s="6"/>
      <c r="P775" s="6"/>
      <c r="Q775" s="6"/>
      <c r="R775" s="4"/>
      <c r="S775" s="4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4"/>
      <c r="G776" s="4"/>
      <c r="H776" s="5"/>
      <c r="I776" s="5"/>
      <c r="J776" s="5"/>
      <c r="K776" s="2"/>
      <c r="L776" s="2"/>
      <c r="M776" s="2"/>
      <c r="N776" s="6"/>
      <c r="O776" s="6"/>
      <c r="P776" s="6"/>
      <c r="Q776" s="6"/>
      <c r="R776" s="4"/>
      <c r="S776" s="4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4"/>
      <c r="G777" s="4"/>
      <c r="H777" s="5"/>
      <c r="I777" s="5"/>
      <c r="J777" s="5"/>
      <c r="K777" s="2"/>
      <c r="L777" s="2"/>
      <c r="M777" s="2"/>
      <c r="N777" s="6"/>
      <c r="O777" s="6"/>
      <c r="P777" s="6"/>
      <c r="Q777" s="6"/>
      <c r="R777" s="4"/>
      <c r="S777" s="4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4"/>
      <c r="G778" s="4"/>
      <c r="H778" s="5"/>
      <c r="I778" s="5"/>
      <c r="J778" s="5"/>
      <c r="K778" s="2"/>
      <c r="L778" s="2"/>
      <c r="M778" s="2"/>
      <c r="N778" s="6"/>
      <c r="O778" s="6"/>
      <c r="P778" s="6"/>
      <c r="Q778" s="6"/>
      <c r="R778" s="4"/>
      <c r="S778" s="4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4"/>
      <c r="G779" s="4"/>
      <c r="H779" s="5"/>
      <c r="I779" s="5"/>
      <c r="J779" s="5"/>
      <c r="K779" s="2"/>
      <c r="L779" s="2"/>
      <c r="M779" s="2"/>
      <c r="N779" s="6"/>
      <c r="O779" s="6"/>
      <c r="P779" s="6"/>
      <c r="Q779" s="6"/>
      <c r="R779" s="4"/>
      <c r="S779" s="4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4"/>
      <c r="G780" s="4"/>
      <c r="H780" s="5"/>
      <c r="I780" s="5"/>
      <c r="J780" s="5"/>
      <c r="K780" s="2"/>
      <c r="L780" s="2"/>
      <c r="M780" s="2"/>
      <c r="N780" s="6"/>
      <c r="O780" s="6"/>
      <c r="P780" s="6"/>
      <c r="Q780" s="6"/>
      <c r="R780" s="4"/>
      <c r="S780" s="4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4"/>
      <c r="G781" s="4"/>
      <c r="H781" s="5"/>
      <c r="I781" s="5"/>
      <c r="J781" s="5"/>
      <c r="K781" s="2"/>
      <c r="L781" s="2"/>
      <c r="M781" s="2"/>
      <c r="N781" s="6"/>
      <c r="O781" s="6"/>
      <c r="P781" s="6"/>
      <c r="Q781" s="6"/>
      <c r="R781" s="4"/>
      <c r="S781" s="4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4"/>
      <c r="G782" s="4"/>
      <c r="H782" s="5"/>
      <c r="I782" s="5"/>
      <c r="J782" s="5"/>
      <c r="K782" s="2"/>
      <c r="L782" s="2"/>
      <c r="M782" s="2"/>
      <c r="N782" s="6"/>
      <c r="O782" s="6"/>
      <c r="P782" s="6"/>
      <c r="Q782" s="6"/>
      <c r="R782" s="4"/>
      <c r="S782" s="4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4"/>
      <c r="G783" s="4"/>
      <c r="H783" s="5"/>
      <c r="I783" s="5"/>
      <c r="J783" s="5"/>
      <c r="K783" s="2"/>
      <c r="L783" s="2"/>
      <c r="M783" s="2"/>
      <c r="N783" s="6"/>
      <c r="O783" s="6"/>
      <c r="P783" s="6"/>
      <c r="Q783" s="6"/>
      <c r="R783" s="4"/>
      <c r="S783" s="4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4"/>
      <c r="G784" s="4"/>
      <c r="H784" s="5"/>
      <c r="I784" s="5"/>
      <c r="J784" s="5"/>
      <c r="K784" s="2"/>
      <c r="L784" s="2"/>
      <c r="M784" s="2"/>
      <c r="N784" s="6"/>
      <c r="O784" s="6"/>
      <c r="P784" s="6"/>
      <c r="Q784" s="6"/>
      <c r="R784" s="4"/>
      <c r="S784" s="4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4"/>
      <c r="G785" s="4"/>
      <c r="H785" s="5"/>
      <c r="I785" s="5"/>
      <c r="J785" s="5"/>
      <c r="K785" s="2"/>
      <c r="L785" s="2"/>
      <c r="M785" s="2"/>
      <c r="N785" s="6"/>
      <c r="O785" s="6"/>
      <c r="P785" s="6"/>
      <c r="Q785" s="6"/>
      <c r="R785" s="4"/>
      <c r="S785" s="4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4"/>
      <c r="G786" s="4"/>
      <c r="H786" s="5"/>
      <c r="I786" s="5"/>
      <c r="J786" s="5"/>
      <c r="K786" s="2"/>
      <c r="L786" s="2"/>
      <c r="M786" s="2"/>
      <c r="N786" s="6"/>
      <c r="O786" s="6"/>
      <c r="P786" s="6"/>
      <c r="Q786" s="6"/>
      <c r="R786" s="4"/>
      <c r="S786" s="4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4"/>
      <c r="G787" s="4"/>
      <c r="H787" s="5"/>
      <c r="I787" s="5"/>
      <c r="J787" s="5"/>
      <c r="K787" s="2"/>
      <c r="L787" s="2"/>
      <c r="M787" s="2"/>
      <c r="N787" s="6"/>
      <c r="O787" s="6"/>
      <c r="P787" s="6"/>
      <c r="Q787" s="6"/>
      <c r="R787" s="4"/>
      <c r="S787" s="4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4"/>
      <c r="G788" s="4"/>
      <c r="H788" s="5"/>
      <c r="I788" s="5"/>
      <c r="J788" s="5"/>
      <c r="K788" s="2"/>
      <c r="L788" s="2"/>
      <c r="M788" s="2"/>
      <c r="N788" s="6"/>
      <c r="O788" s="6"/>
      <c r="P788" s="6"/>
      <c r="Q788" s="6"/>
      <c r="R788" s="4"/>
      <c r="S788" s="4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4"/>
      <c r="G789" s="4"/>
      <c r="H789" s="5"/>
      <c r="I789" s="5"/>
      <c r="J789" s="5"/>
      <c r="K789" s="2"/>
      <c r="L789" s="2"/>
      <c r="M789" s="2"/>
      <c r="N789" s="6"/>
      <c r="O789" s="6"/>
      <c r="P789" s="6"/>
      <c r="Q789" s="6"/>
      <c r="R789" s="4"/>
      <c r="S789" s="4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4"/>
      <c r="G790" s="4"/>
      <c r="H790" s="5"/>
      <c r="I790" s="5"/>
      <c r="J790" s="5"/>
      <c r="K790" s="2"/>
      <c r="L790" s="2"/>
      <c r="M790" s="2"/>
      <c r="N790" s="6"/>
      <c r="O790" s="6"/>
      <c r="P790" s="6"/>
      <c r="Q790" s="6"/>
      <c r="R790" s="4"/>
      <c r="S790" s="4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4"/>
      <c r="G791" s="4"/>
      <c r="H791" s="5"/>
      <c r="I791" s="5"/>
      <c r="J791" s="5"/>
      <c r="K791" s="2"/>
      <c r="L791" s="2"/>
      <c r="M791" s="2"/>
      <c r="N791" s="6"/>
      <c r="O791" s="6"/>
      <c r="P791" s="6"/>
      <c r="Q791" s="6"/>
      <c r="R791" s="4"/>
      <c r="S791" s="4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4"/>
      <c r="G792" s="4"/>
      <c r="H792" s="5"/>
      <c r="I792" s="5"/>
      <c r="J792" s="5"/>
      <c r="K792" s="2"/>
      <c r="L792" s="2"/>
      <c r="M792" s="2"/>
      <c r="N792" s="6"/>
      <c r="O792" s="6"/>
      <c r="P792" s="6"/>
      <c r="Q792" s="6"/>
      <c r="R792" s="4"/>
      <c r="S792" s="4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4"/>
      <c r="G793" s="4"/>
      <c r="H793" s="5"/>
      <c r="I793" s="5"/>
      <c r="J793" s="5"/>
      <c r="K793" s="2"/>
      <c r="L793" s="2"/>
      <c r="M793" s="2"/>
      <c r="N793" s="6"/>
      <c r="O793" s="6"/>
      <c r="P793" s="6"/>
      <c r="Q793" s="6"/>
      <c r="R793" s="4"/>
      <c r="S793" s="4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4"/>
      <c r="G794" s="4"/>
      <c r="H794" s="5"/>
      <c r="I794" s="5"/>
      <c r="J794" s="5"/>
      <c r="K794" s="2"/>
      <c r="L794" s="2"/>
      <c r="M794" s="2"/>
      <c r="N794" s="6"/>
      <c r="O794" s="6"/>
      <c r="P794" s="6"/>
      <c r="Q794" s="6"/>
      <c r="R794" s="4"/>
      <c r="S794" s="4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4"/>
      <c r="G795" s="4"/>
      <c r="H795" s="5"/>
      <c r="I795" s="5"/>
      <c r="J795" s="5"/>
      <c r="K795" s="2"/>
      <c r="L795" s="2"/>
      <c r="M795" s="2"/>
      <c r="N795" s="6"/>
      <c r="O795" s="6"/>
      <c r="P795" s="6"/>
      <c r="Q795" s="6"/>
      <c r="R795" s="4"/>
      <c r="S795" s="4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4"/>
      <c r="G796" s="4"/>
      <c r="H796" s="5"/>
      <c r="I796" s="5"/>
      <c r="J796" s="5"/>
      <c r="K796" s="2"/>
      <c r="L796" s="2"/>
      <c r="M796" s="2"/>
      <c r="N796" s="6"/>
      <c r="O796" s="6"/>
      <c r="P796" s="6"/>
      <c r="Q796" s="6"/>
      <c r="R796" s="4"/>
      <c r="S796" s="4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4"/>
      <c r="G797" s="4"/>
      <c r="H797" s="5"/>
      <c r="I797" s="5"/>
      <c r="J797" s="5"/>
      <c r="K797" s="2"/>
      <c r="L797" s="2"/>
      <c r="M797" s="2"/>
      <c r="N797" s="6"/>
      <c r="O797" s="6"/>
      <c r="P797" s="6"/>
      <c r="Q797" s="6"/>
      <c r="R797" s="4"/>
      <c r="S797" s="4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4"/>
      <c r="G798" s="4"/>
      <c r="H798" s="5"/>
      <c r="I798" s="5"/>
      <c r="J798" s="5"/>
      <c r="K798" s="2"/>
      <c r="L798" s="2"/>
      <c r="M798" s="2"/>
      <c r="N798" s="6"/>
      <c r="O798" s="6"/>
      <c r="P798" s="6"/>
      <c r="Q798" s="6"/>
      <c r="R798" s="4"/>
      <c r="S798" s="4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4"/>
      <c r="G799" s="4"/>
      <c r="H799" s="5"/>
      <c r="I799" s="5"/>
      <c r="J799" s="5"/>
      <c r="K799" s="2"/>
      <c r="L799" s="2"/>
      <c r="M799" s="2"/>
      <c r="N799" s="6"/>
      <c r="O799" s="6"/>
      <c r="P799" s="6"/>
      <c r="Q799" s="6"/>
      <c r="R799" s="4"/>
      <c r="S799" s="4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4"/>
      <c r="G800" s="4"/>
      <c r="H800" s="5"/>
      <c r="I800" s="5"/>
      <c r="J800" s="5"/>
      <c r="K800" s="2"/>
      <c r="L800" s="2"/>
      <c r="M800" s="2"/>
      <c r="N800" s="6"/>
      <c r="O800" s="6"/>
      <c r="P800" s="6"/>
      <c r="Q800" s="6"/>
      <c r="R800" s="4"/>
      <c r="S800" s="4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4"/>
      <c r="G801" s="4"/>
      <c r="H801" s="5"/>
      <c r="I801" s="5"/>
      <c r="J801" s="5"/>
      <c r="K801" s="2"/>
      <c r="L801" s="2"/>
      <c r="M801" s="2"/>
      <c r="N801" s="6"/>
      <c r="O801" s="6"/>
      <c r="P801" s="6"/>
      <c r="Q801" s="6"/>
      <c r="R801" s="4"/>
      <c r="S801" s="4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4"/>
      <c r="G802" s="4"/>
      <c r="H802" s="5"/>
      <c r="I802" s="5"/>
      <c r="J802" s="5"/>
      <c r="K802" s="2"/>
      <c r="L802" s="2"/>
      <c r="M802" s="2"/>
      <c r="N802" s="6"/>
      <c r="O802" s="6"/>
      <c r="P802" s="6"/>
      <c r="Q802" s="6"/>
      <c r="R802" s="4"/>
      <c r="S802" s="4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4"/>
      <c r="G803" s="4"/>
      <c r="H803" s="5"/>
      <c r="I803" s="5"/>
      <c r="J803" s="5"/>
      <c r="K803" s="2"/>
      <c r="L803" s="2"/>
      <c r="M803" s="2"/>
      <c r="N803" s="6"/>
      <c r="O803" s="6"/>
      <c r="P803" s="6"/>
      <c r="Q803" s="6"/>
      <c r="R803" s="4"/>
      <c r="S803" s="4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4"/>
      <c r="G804" s="4"/>
      <c r="H804" s="5"/>
      <c r="I804" s="5"/>
      <c r="J804" s="5"/>
      <c r="K804" s="2"/>
      <c r="L804" s="2"/>
      <c r="M804" s="2"/>
      <c r="N804" s="6"/>
      <c r="O804" s="6"/>
      <c r="P804" s="6"/>
      <c r="Q804" s="6"/>
      <c r="R804" s="4"/>
      <c r="S804" s="4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4"/>
      <c r="G805" s="4"/>
      <c r="H805" s="5"/>
      <c r="I805" s="5"/>
      <c r="J805" s="5"/>
      <c r="K805" s="2"/>
      <c r="L805" s="2"/>
      <c r="M805" s="2"/>
      <c r="N805" s="6"/>
      <c r="O805" s="6"/>
      <c r="P805" s="6"/>
      <c r="Q805" s="6"/>
      <c r="R805" s="4"/>
      <c r="S805" s="4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4"/>
      <c r="G806" s="4"/>
      <c r="H806" s="5"/>
      <c r="I806" s="5"/>
      <c r="J806" s="5"/>
      <c r="K806" s="2"/>
      <c r="L806" s="2"/>
      <c r="M806" s="2"/>
      <c r="N806" s="6"/>
      <c r="O806" s="6"/>
      <c r="P806" s="6"/>
      <c r="Q806" s="6"/>
      <c r="R806" s="4"/>
      <c r="S806" s="4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4"/>
      <c r="G807" s="4"/>
      <c r="H807" s="5"/>
      <c r="I807" s="5"/>
      <c r="J807" s="5"/>
      <c r="K807" s="2"/>
      <c r="L807" s="2"/>
      <c r="M807" s="2"/>
      <c r="N807" s="6"/>
      <c r="O807" s="6"/>
      <c r="P807" s="6"/>
      <c r="Q807" s="6"/>
      <c r="R807" s="4"/>
      <c r="S807" s="4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4"/>
      <c r="G808" s="4"/>
      <c r="H808" s="5"/>
      <c r="I808" s="5"/>
      <c r="J808" s="5"/>
      <c r="K808" s="2"/>
      <c r="L808" s="2"/>
      <c r="M808" s="2"/>
      <c r="N808" s="6"/>
      <c r="O808" s="6"/>
      <c r="P808" s="6"/>
      <c r="Q808" s="6"/>
      <c r="R808" s="4"/>
      <c r="S808" s="4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4"/>
      <c r="G809" s="4"/>
      <c r="H809" s="5"/>
      <c r="I809" s="5"/>
      <c r="J809" s="5"/>
      <c r="K809" s="2"/>
      <c r="L809" s="2"/>
      <c r="M809" s="2"/>
      <c r="N809" s="6"/>
      <c r="O809" s="6"/>
      <c r="P809" s="6"/>
      <c r="Q809" s="6"/>
      <c r="R809" s="4"/>
      <c r="S809" s="4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4"/>
      <c r="G810" s="4"/>
      <c r="H810" s="5"/>
      <c r="I810" s="5"/>
      <c r="J810" s="5"/>
      <c r="K810" s="2"/>
      <c r="L810" s="2"/>
      <c r="M810" s="2"/>
      <c r="N810" s="6"/>
      <c r="O810" s="6"/>
      <c r="P810" s="6"/>
      <c r="Q810" s="6"/>
      <c r="R810" s="4"/>
      <c r="S810" s="4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4"/>
      <c r="G811" s="4"/>
      <c r="H811" s="5"/>
      <c r="I811" s="5"/>
      <c r="J811" s="5"/>
      <c r="K811" s="2"/>
      <c r="L811" s="2"/>
      <c r="M811" s="2"/>
      <c r="N811" s="6"/>
      <c r="O811" s="6"/>
      <c r="P811" s="6"/>
      <c r="Q811" s="6"/>
      <c r="R811" s="4"/>
      <c r="S811" s="4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4"/>
      <c r="G812" s="4"/>
      <c r="H812" s="5"/>
      <c r="I812" s="5"/>
      <c r="J812" s="5"/>
      <c r="K812" s="2"/>
      <c r="L812" s="2"/>
      <c r="M812" s="2"/>
      <c r="N812" s="6"/>
      <c r="O812" s="6"/>
      <c r="P812" s="6"/>
      <c r="Q812" s="6"/>
      <c r="R812" s="4"/>
      <c r="S812" s="4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4"/>
      <c r="G813" s="4"/>
      <c r="H813" s="5"/>
      <c r="I813" s="5"/>
      <c r="J813" s="5"/>
      <c r="K813" s="2"/>
      <c r="L813" s="2"/>
      <c r="M813" s="2"/>
      <c r="N813" s="6"/>
      <c r="O813" s="6"/>
      <c r="P813" s="6"/>
      <c r="Q813" s="6"/>
      <c r="R813" s="4"/>
      <c r="S813" s="4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4"/>
      <c r="G814" s="4"/>
      <c r="H814" s="5"/>
      <c r="I814" s="5"/>
      <c r="J814" s="5"/>
      <c r="K814" s="2"/>
      <c r="L814" s="2"/>
      <c r="M814" s="2"/>
      <c r="N814" s="6"/>
      <c r="O814" s="6"/>
      <c r="P814" s="6"/>
      <c r="Q814" s="6"/>
      <c r="R814" s="4"/>
      <c r="S814" s="4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4"/>
      <c r="G815" s="4"/>
      <c r="H815" s="5"/>
      <c r="I815" s="5"/>
      <c r="J815" s="5"/>
      <c r="K815" s="2"/>
      <c r="L815" s="2"/>
      <c r="M815" s="2"/>
      <c r="N815" s="6"/>
      <c r="O815" s="6"/>
      <c r="P815" s="6"/>
      <c r="Q815" s="6"/>
      <c r="R815" s="4"/>
      <c r="S815" s="4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4"/>
      <c r="G816" s="4"/>
      <c r="H816" s="5"/>
      <c r="I816" s="5"/>
      <c r="J816" s="5"/>
      <c r="K816" s="2"/>
      <c r="L816" s="2"/>
      <c r="M816" s="2"/>
      <c r="N816" s="6"/>
      <c r="O816" s="6"/>
      <c r="P816" s="6"/>
      <c r="Q816" s="6"/>
      <c r="R816" s="4"/>
      <c r="S816" s="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4"/>
      <c r="G817" s="4"/>
      <c r="H817" s="5"/>
      <c r="I817" s="5"/>
      <c r="J817" s="5"/>
      <c r="K817" s="2"/>
      <c r="L817" s="2"/>
      <c r="M817" s="2"/>
      <c r="N817" s="6"/>
      <c r="O817" s="6"/>
      <c r="P817" s="6"/>
      <c r="Q817" s="6"/>
      <c r="R817" s="4"/>
      <c r="S817" s="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4"/>
      <c r="G818" s="4"/>
      <c r="H818" s="5"/>
      <c r="I818" s="5"/>
      <c r="J818" s="5"/>
      <c r="K818" s="2"/>
      <c r="L818" s="2"/>
      <c r="M818" s="2"/>
      <c r="N818" s="6"/>
      <c r="O818" s="6"/>
      <c r="P818" s="6"/>
      <c r="Q818" s="6"/>
      <c r="R818" s="4"/>
      <c r="S818" s="4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4"/>
      <c r="G819" s="4"/>
      <c r="H819" s="5"/>
      <c r="I819" s="5"/>
      <c r="J819" s="5"/>
      <c r="K819" s="2"/>
      <c r="L819" s="2"/>
      <c r="M819" s="2"/>
      <c r="N819" s="6"/>
      <c r="O819" s="6"/>
      <c r="P819" s="6"/>
      <c r="Q819" s="6"/>
      <c r="R819" s="4"/>
      <c r="S819" s="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4"/>
      <c r="G820" s="4"/>
      <c r="H820" s="5"/>
      <c r="I820" s="5"/>
      <c r="J820" s="5"/>
      <c r="K820" s="2"/>
      <c r="L820" s="2"/>
      <c r="M820" s="2"/>
      <c r="N820" s="6"/>
      <c r="O820" s="6"/>
      <c r="P820" s="6"/>
      <c r="Q820" s="6"/>
      <c r="R820" s="4"/>
      <c r="S820" s="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4"/>
      <c r="G821" s="4"/>
      <c r="H821" s="5"/>
      <c r="I821" s="5"/>
      <c r="J821" s="5"/>
      <c r="K821" s="2"/>
      <c r="L821" s="2"/>
      <c r="M821" s="2"/>
      <c r="N821" s="6"/>
      <c r="O821" s="6"/>
      <c r="P821" s="6"/>
      <c r="Q821" s="6"/>
      <c r="R821" s="4"/>
      <c r="S821" s="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4"/>
      <c r="G822" s="4"/>
      <c r="H822" s="5"/>
      <c r="I822" s="5"/>
      <c r="J822" s="5"/>
      <c r="K822" s="2"/>
      <c r="L822" s="2"/>
      <c r="M822" s="2"/>
      <c r="N822" s="6"/>
      <c r="O822" s="6"/>
      <c r="P822" s="6"/>
      <c r="Q822" s="6"/>
      <c r="R822" s="4"/>
      <c r="S822" s="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4"/>
      <c r="G823" s="4"/>
      <c r="H823" s="5"/>
      <c r="I823" s="5"/>
      <c r="J823" s="5"/>
      <c r="K823" s="2"/>
      <c r="L823" s="2"/>
      <c r="M823" s="2"/>
      <c r="N823" s="6"/>
      <c r="O823" s="6"/>
      <c r="P823" s="6"/>
      <c r="Q823" s="6"/>
      <c r="R823" s="4"/>
      <c r="S823" s="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4"/>
      <c r="G824" s="4"/>
      <c r="H824" s="5"/>
      <c r="I824" s="5"/>
      <c r="J824" s="5"/>
      <c r="K824" s="2"/>
      <c r="L824" s="2"/>
      <c r="M824" s="2"/>
      <c r="N824" s="6"/>
      <c r="O824" s="6"/>
      <c r="P824" s="6"/>
      <c r="Q824" s="6"/>
      <c r="R824" s="4"/>
      <c r="S824" s="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4"/>
      <c r="G825" s="4"/>
      <c r="H825" s="5"/>
      <c r="I825" s="5"/>
      <c r="J825" s="5"/>
      <c r="K825" s="2"/>
      <c r="L825" s="2"/>
      <c r="M825" s="2"/>
      <c r="N825" s="6"/>
      <c r="O825" s="6"/>
      <c r="P825" s="6"/>
      <c r="Q825" s="6"/>
      <c r="R825" s="4"/>
      <c r="S825" s="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4"/>
      <c r="G826" s="4"/>
      <c r="H826" s="5"/>
      <c r="I826" s="5"/>
      <c r="J826" s="5"/>
      <c r="K826" s="2"/>
      <c r="L826" s="2"/>
      <c r="M826" s="2"/>
      <c r="N826" s="6"/>
      <c r="O826" s="6"/>
      <c r="P826" s="6"/>
      <c r="Q826" s="6"/>
      <c r="R826" s="4"/>
      <c r="S826" s="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4"/>
      <c r="G827" s="4"/>
      <c r="H827" s="5"/>
      <c r="I827" s="5"/>
      <c r="J827" s="5"/>
      <c r="K827" s="2"/>
      <c r="L827" s="2"/>
      <c r="M827" s="2"/>
      <c r="N827" s="6"/>
      <c r="O827" s="6"/>
      <c r="P827" s="6"/>
      <c r="Q827" s="6"/>
      <c r="R827" s="4"/>
      <c r="S827" s="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4"/>
      <c r="G828" s="4"/>
      <c r="H828" s="5"/>
      <c r="I828" s="5"/>
      <c r="J828" s="5"/>
      <c r="K828" s="2"/>
      <c r="L828" s="2"/>
      <c r="M828" s="2"/>
      <c r="N828" s="6"/>
      <c r="O828" s="6"/>
      <c r="P828" s="6"/>
      <c r="Q828" s="6"/>
      <c r="R828" s="4"/>
      <c r="S828" s="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4"/>
      <c r="G829" s="4"/>
      <c r="H829" s="5"/>
      <c r="I829" s="5"/>
      <c r="J829" s="5"/>
      <c r="K829" s="2"/>
      <c r="L829" s="2"/>
      <c r="M829" s="2"/>
      <c r="N829" s="6"/>
      <c r="O829" s="6"/>
      <c r="P829" s="6"/>
      <c r="Q829" s="6"/>
      <c r="R829" s="4"/>
      <c r="S829" s="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4"/>
      <c r="G830" s="4"/>
      <c r="H830" s="5"/>
      <c r="I830" s="5"/>
      <c r="J830" s="5"/>
      <c r="K830" s="2"/>
      <c r="L830" s="2"/>
      <c r="M830" s="2"/>
      <c r="N830" s="6"/>
      <c r="O830" s="6"/>
      <c r="P830" s="6"/>
      <c r="Q830" s="6"/>
      <c r="R830" s="4"/>
      <c r="S830" s="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4"/>
      <c r="G831" s="4"/>
      <c r="H831" s="5"/>
      <c r="I831" s="5"/>
      <c r="J831" s="5"/>
      <c r="K831" s="2"/>
      <c r="L831" s="2"/>
      <c r="M831" s="2"/>
      <c r="N831" s="6"/>
      <c r="O831" s="6"/>
      <c r="P831" s="6"/>
      <c r="Q831" s="6"/>
      <c r="R831" s="4"/>
      <c r="S831" s="4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4"/>
      <c r="G832" s="4"/>
      <c r="H832" s="5"/>
      <c r="I832" s="5"/>
      <c r="J832" s="5"/>
      <c r="K832" s="2"/>
      <c r="L832" s="2"/>
      <c r="M832" s="2"/>
      <c r="N832" s="6"/>
      <c r="O832" s="6"/>
      <c r="P832" s="6"/>
      <c r="Q832" s="6"/>
      <c r="R832" s="4"/>
      <c r="S832" s="4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4"/>
      <c r="G833" s="4"/>
      <c r="H833" s="5"/>
      <c r="I833" s="5"/>
      <c r="J833" s="5"/>
      <c r="K833" s="2"/>
      <c r="L833" s="2"/>
      <c r="M833" s="2"/>
      <c r="N833" s="6"/>
      <c r="O833" s="6"/>
      <c r="P833" s="6"/>
      <c r="Q833" s="6"/>
      <c r="R833" s="4"/>
      <c r="S833" s="4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4"/>
      <c r="G834" s="4"/>
      <c r="H834" s="5"/>
      <c r="I834" s="5"/>
      <c r="J834" s="5"/>
      <c r="K834" s="2"/>
      <c r="L834" s="2"/>
      <c r="M834" s="2"/>
      <c r="N834" s="6"/>
      <c r="O834" s="6"/>
      <c r="P834" s="6"/>
      <c r="Q834" s="6"/>
      <c r="R834" s="4"/>
      <c r="S834" s="4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4"/>
      <c r="G835" s="4"/>
      <c r="H835" s="5"/>
      <c r="I835" s="5"/>
      <c r="J835" s="5"/>
      <c r="K835" s="2"/>
      <c r="L835" s="2"/>
      <c r="M835" s="2"/>
      <c r="N835" s="6"/>
      <c r="O835" s="6"/>
      <c r="P835" s="6"/>
      <c r="Q835" s="6"/>
      <c r="R835" s="4"/>
      <c r="S835" s="4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4"/>
      <c r="G836" s="4"/>
      <c r="H836" s="5"/>
      <c r="I836" s="5"/>
      <c r="J836" s="5"/>
      <c r="K836" s="2"/>
      <c r="L836" s="2"/>
      <c r="M836" s="2"/>
      <c r="N836" s="6"/>
      <c r="O836" s="6"/>
      <c r="P836" s="6"/>
      <c r="Q836" s="6"/>
      <c r="R836" s="4"/>
      <c r="S836" s="4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4"/>
      <c r="G837" s="4"/>
      <c r="H837" s="5"/>
      <c r="I837" s="5"/>
      <c r="J837" s="5"/>
      <c r="K837" s="2"/>
      <c r="L837" s="2"/>
      <c r="M837" s="2"/>
      <c r="N837" s="6"/>
      <c r="O837" s="6"/>
      <c r="P837" s="6"/>
      <c r="Q837" s="6"/>
      <c r="R837" s="4"/>
      <c r="S837" s="4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4"/>
      <c r="G838" s="4"/>
      <c r="H838" s="5"/>
      <c r="I838" s="5"/>
      <c r="J838" s="5"/>
      <c r="K838" s="2"/>
      <c r="L838" s="2"/>
      <c r="M838" s="2"/>
      <c r="N838" s="6"/>
      <c r="O838" s="6"/>
      <c r="P838" s="6"/>
      <c r="Q838" s="6"/>
      <c r="R838" s="4"/>
      <c r="S838" s="4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4"/>
      <c r="G839" s="4"/>
      <c r="H839" s="5"/>
      <c r="I839" s="5"/>
      <c r="J839" s="5"/>
      <c r="K839" s="2"/>
      <c r="L839" s="2"/>
      <c r="M839" s="2"/>
      <c r="N839" s="6"/>
      <c r="O839" s="6"/>
      <c r="P839" s="6"/>
      <c r="Q839" s="6"/>
      <c r="R839" s="4"/>
      <c r="S839" s="4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4"/>
      <c r="G840" s="4"/>
      <c r="H840" s="5"/>
      <c r="I840" s="5"/>
      <c r="J840" s="5"/>
      <c r="K840" s="2"/>
      <c r="L840" s="2"/>
      <c r="M840" s="2"/>
      <c r="N840" s="6"/>
      <c r="O840" s="6"/>
      <c r="P840" s="6"/>
      <c r="Q840" s="6"/>
      <c r="R840" s="4"/>
      <c r="S840" s="4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4"/>
      <c r="G841" s="4"/>
      <c r="H841" s="5"/>
      <c r="I841" s="5"/>
      <c r="J841" s="5"/>
      <c r="K841" s="2"/>
      <c r="L841" s="2"/>
      <c r="M841" s="2"/>
      <c r="N841" s="6"/>
      <c r="O841" s="6"/>
      <c r="P841" s="6"/>
      <c r="Q841" s="6"/>
      <c r="R841" s="4"/>
      <c r="S841" s="4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4"/>
      <c r="G842" s="4"/>
      <c r="H842" s="5"/>
      <c r="I842" s="5"/>
      <c r="J842" s="5"/>
      <c r="K842" s="2"/>
      <c r="L842" s="2"/>
      <c r="M842" s="2"/>
      <c r="N842" s="6"/>
      <c r="O842" s="6"/>
      <c r="P842" s="6"/>
      <c r="Q842" s="6"/>
      <c r="R842" s="4"/>
      <c r="S842" s="4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4"/>
      <c r="G843" s="4"/>
      <c r="H843" s="5"/>
      <c r="I843" s="5"/>
      <c r="J843" s="5"/>
      <c r="K843" s="2"/>
      <c r="L843" s="2"/>
      <c r="M843" s="2"/>
      <c r="N843" s="6"/>
      <c r="O843" s="6"/>
      <c r="P843" s="6"/>
      <c r="Q843" s="6"/>
      <c r="R843" s="4"/>
      <c r="S843" s="4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4"/>
      <c r="G844" s="4"/>
      <c r="H844" s="5"/>
      <c r="I844" s="5"/>
      <c r="J844" s="5"/>
      <c r="K844" s="2"/>
      <c r="L844" s="2"/>
      <c r="M844" s="2"/>
      <c r="N844" s="6"/>
      <c r="O844" s="6"/>
      <c r="P844" s="6"/>
      <c r="Q844" s="6"/>
      <c r="R844" s="4"/>
      <c r="S844" s="4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4"/>
      <c r="G845" s="4"/>
      <c r="H845" s="5"/>
      <c r="I845" s="5"/>
      <c r="J845" s="5"/>
      <c r="K845" s="2"/>
      <c r="L845" s="2"/>
      <c r="M845" s="2"/>
      <c r="N845" s="6"/>
      <c r="O845" s="6"/>
      <c r="P845" s="6"/>
      <c r="Q845" s="6"/>
      <c r="R845" s="4"/>
      <c r="S845" s="4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4"/>
      <c r="G846" s="4"/>
      <c r="H846" s="5"/>
      <c r="I846" s="5"/>
      <c r="J846" s="5"/>
      <c r="K846" s="2"/>
      <c r="L846" s="2"/>
      <c r="M846" s="2"/>
      <c r="N846" s="6"/>
      <c r="O846" s="6"/>
      <c r="P846" s="6"/>
      <c r="Q846" s="6"/>
      <c r="R846" s="4"/>
      <c r="S846" s="4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4"/>
      <c r="G847" s="4"/>
      <c r="H847" s="5"/>
      <c r="I847" s="5"/>
      <c r="J847" s="5"/>
      <c r="K847" s="2"/>
      <c r="L847" s="2"/>
      <c r="M847" s="2"/>
      <c r="N847" s="6"/>
      <c r="O847" s="6"/>
      <c r="P847" s="6"/>
      <c r="Q847" s="6"/>
      <c r="R847" s="4"/>
      <c r="S847" s="4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4"/>
      <c r="G848" s="4"/>
      <c r="H848" s="5"/>
      <c r="I848" s="5"/>
      <c r="J848" s="5"/>
      <c r="K848" s="2"/>
      <c r="L848" s="2"/>
      <c r="M848" s="2"/>
      <c r="N848" s="6"/>
      <c r="O848" s="6"/>
      <c r="P848" s="6"/>
      <c r="Q848" s="6"/>
      <c r="R848" s="4"/>
      <c r="S848" s="4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4"/>
      <c r="G849" s="4"/>
      <c r="H849" s="5"/>
      <c r="I849" s="5"/>
      <c r="J849" s="5"/>
      <c r="K849" s="2"/>
      <c r="L849" s="2"/>
      <c r="M849" s="2"/>
      <c r="N849" s="6"/>
      <c r="O849" s="6"/>
      <c r="P849" s="6"/>
      <c r="Q849" s="6"/>
      <c r="R849" s="4"/>
      <c r="S849" s="4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4"/>
      <c r="G850" s="4"/>
      <c r="H850" s="5"/>
      <c r="I850" s="5"/>
      <c r="J850" s="5"/>
      <c r="K850" s="2"/>
      <c r="L850" s="2"/>
      <c r="M850" s="2"/>
      <c r="N850" s="6"/>
      <c r="O850" s="6"/>
      <c r="P850" s="6"/>
      <c r="Q850" s="6"/>
      <c r="R850" s="4"/>
      <c r="S850" s="4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4"/>
      <c r="G851" s="4"/>
      <c r="H851" s="5"/>
      <c r="I851" s="5"/>
      <c r="J851" s="5"/>
      <c r="K851" s="2"/>
      <c r="L851" s="2"/>
      <c r="M851" s="2"/>
      <c r="N851" s="6"/>
      <c r="O851" s="6"/>
      <c r="P851" s="6"/>
      <c r="Q851" s="6"/>
      <c r="R851" s="4"/>
      <c r="S851" s="4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4"/>
      <c r="G852" s="4"/>
      <c r="H852" s="5"/>
      <c r="I852" s="5"/>
      <c r="J852" s="5"/>
      <c r="K852" s="2"/>
      <c r="L852" s="2"/>
      <c r="M852" s="2"/>
      <c r="N852" s="6"/>
      <c r="O852" s="6"/>
      <c r="P852" s="6"/>
      <c r="Q852" s="6"/>
      <c r="R852" s="4"/>
      <c r="S852" s="4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4"/>
      <c r="G853" s="4"/>
      <c r="H853" s="5"/>
      <c r="I853" s="5"/>
      <c r="J853" s="5"/>
      <c r="K853" s="2"/>
      <c r="L853" s="2"/>
      <c r="M853" s="2"/>
      <c r="N853" s="6"/>
      <c r="O853" s="6"/>
      <c r="P853" s="6"/>
      <c r="Q853" s="6"/>
      <c r="R853" s="4"/>
      <c r="S853" s="4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4"/>
      <c r="G854" s="4"/>
      <c r="H854" s="5"/>
      <c r="I854" s="5"/>
      <c r="J854" s="5"/>
      <c r="K854" s="2"/>
      <c r="L854" s="2"/>
      <c r="M854" s="2"/>
      <c r="N854" s="6"/>
      <c r="O854" s="6"/>
      <c r="P854" s="6"/>
      <c r="Q854" s="6"/>
      <c r="R854" s="4"/>
      <c r="S854" s="4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4"/>
      <c r="G855" s="4"/>
      <c r="H855" s="5"/>
      <c r="I855" s="5"/>
      <c r="J855" s="5"/>
      <c r="K855" s="2"/>
      <c r="L855" s="2"/>
      <c r="M855" s="2"/>
      <c r="N855" s="6"/>
      <c r="O855" s="6"/>
      <c r="P855" s="6"/>
      <c r="Q855" s="6"/>
      <c r="R855" s="4"/>
      <c r="S855" s="4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4"/>
      <c r="G856" s="4"/>
      <c r="H856" s="5"/>
      <c r="I856" s="5"/>
      <c r="J856" s="5"/>
      <c r="K856" s="2"/>
      <c r="L856" s="2"/>
      <c r="M856" s="2"/>
      <c r="N856" s="6"/>
      <c r="O856" s="6"/>
      <c r="P856" s="6"/>
      <c r="Q856" s="6"/>
      <c r="R856" s="4"/>
      <c r="S856" s="4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4"/>
      <c r="G857" s="4"/>
      <c r="H857" s="5"/>
      <c r="I857" s="5"/>
      <c r="J857" s="5"/>
      <c r="K857" s="2"/>
      <c r="L857" s="2"/>
      <c r="M857" s="2"/>
      <c r="N857" s="6"/>
      <c r="O857" s="6"/>
      <c r="P857" s="6"/>
      <c r="Q857" s="6"/>
      <c r="R857" s="4"/>
      <c r="S857" s="4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4"/>
      <c r="G858" s="4"/>
      <c r="H858" s="5"/>
      <c r="I858" s="5"/>
      <c r="J858" s="5"/>
      <c r="K858" s="2"/>
      <c r="L858" s="2"/>
      <c r="M858" s="2"/>
      <c r="N858" s="6"/>
      <c r="O858" s="6"/>
      <c r="P858" s="6"/>
      <c r="Q858" s="6"/>
      <c r="R858" s="4"/>
      <c r="S858" s="4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4"/>
      <c r="G859" s="4"/>
      <c r="H859" s="5"/>
      <c r="I859" s="5"/>
      <c r="J859" s="5"/>
      <c r="K859" s="2"/>
      <c r="L859" s="2"/>
      <c r="M859" s="2"/>
      <c r="N859" s="6"/>
      <c r="O859" s="6"/>
      <c r="P859" s="6"/>
      <c r="Q859" s="6"/>
      <c r="R859" s="4"/>
      <c r="S859" s="4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4"/>
      <c r="G860" s="4"/>
      <c r="H860" s="5"/>
      <c r="I860" s="5"/>
      <c r="J860" s="5"/>
      <c r="K860" s="2"/>
      <c r="L860" s="2"/>
      <c r="M860" s="2"/>
      <c r="N860" s="6"/>
      <c r="O860" s="6"/>
      <c r="P860" s="6"/>
      <c r="Q860" s="6"/>
      <c r="R860" s="4"/>
      <c r="S860" s="4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4"/>
      <c r="G861" s="4"/>
      <c r="H861" s="5"/>
      <c r="I861" s="5"/>
      <c r="J861" s="5"/>
      <c r="K861" s="2"/>
      <c r="L861" s="2"/>
      <c r="M861" s="2"/>
      <c r="N861" s="6"/>
      <c r="O861" s="6"/>
      <c r="P861" s="6"/>
      <c r="Q861" s="6"/>
      <c r="R861" s="4"/>
      <c r="S861" s="4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4"/>
      <c r="G862" s="4"/>
      <c r="H862" s="5"/>
      <c r="I862" s="5"/>
      <c r="J862" s="5"/>
      <c r="K862" s="2"/>
      <c r="L862" s="2"/>
      <c r="M862" s="2"/>
      <c r="N862" s="6"/>
      <c r="O862" s="6"/>
      <c r="P862" s="6"/>
      <c r="Q862" s="6"/>
      <c r="R862" s="4"/>
      <c r="S862" s="4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4"/>
      <c r="G863" s="4"/>
      <c r="H863" s="5"/>
      <c r="I863" s="5"/>
      <c r="J863" s="5"/>
      <c r="K863" s="2"/>
      <c r="L863" s="2"/>
      <c r="M863" s="2"/>
      <c r="N863" s="6"/>
      <c r="O863" s="6"/>
      <c r="P863" s="6"/>
      <c r="Q863" s="6"/>
      <c r="R863" s="4"/>
      <c r="S863" s="4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4"/>
      <c r="G864" s="4"/>
      <c r="H864" s="5"/>
      <c r="I864" s="5"/>
      <c r="J864" s="5"/>
      <c r="K864" s="2"/>
      <c r="L864" s="2"/>
      <c r="M864" s="2"/>
      <c r="N864" s="6"/>
      <c r="O864" s="6"/>
      <c r="P864" s="6"/>
      <c r="Q864" s="6"/>
      <c r="R864" s="4"/>
      <c r="S864" s="4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4"/>
      <c r="G865" s="4"/>
      <c r="H865" s="5"/>
      <c r="I865" s="5"/>
      <c r="J865" s="5"/>
      <c r="K865" s="2"/>
      <c r="L865" s="2"/>
      <c r="M865" s="2"/>
      <c r="N865" s="6"/>
      <c r="O865" s="6"/>
      <c r="P865" s="6"/>
      <c r="Q865" s="6"/>
      <c r="R865" s="4"/>
      <c r="S865" s="4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4"/>
      <c r="G866" s="4"/>
      <c r="H866" s="5"/>
      <c r="I866" s="5"/>
      <c r="J866" s="5"/>
      <c r="K866" s="2"/>
      <c r="L866" s="2"/>
      <c r="M866" s="2"/>
      <c r="N866" s="6"/>
      <c r="O866" s="6"/>
      <c r="P866" s="6"/>
      <c r="Q866" s="6"/>
      <c r="R866" s="4"/>
      <c r="S866" s="4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4"/>
      <c r="G867" s="4"/>
      <c r="H867" s="5"/>
      <c r="I867" s="5"/>
      <c r="J867" s="5"/>
      <c r="K867" s="2"/>
      <c r="L867" s="2"/>
      <c r="M867" s="2"/>
      <c r="N867" s="6"/>
      <c r="O867" s="6"/>
      <c r="P867" s="6"/>
      <c r="Q867" s="6"/>
      <c r="R867" s="4"/>
      <c r="S867" s="4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4"/>
      <c r="G868" s="4"/>
      <c r="H868" s="5"/>
      <c r="I868" s="5"/>
      <c r="J868" s="5"/>
      <c r="K868" s="2"/>
      <c r="L868" s="2"/>
      <c r="M868" s="2"/>
      <c r="N868" s="6"/>
      <c r="O868" s="6"/>
      <c r="P868" s="6"/>
      <c r="Q868" s="6"/>
      <c r="R868" s="4"/>
      <c r="S868" s="4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4"/>
      <c r="G869" s="4"/>
      <c r="H869" s="5"/>
      <c r="I869" s="5"/>
      <c r="J869" s="5"/>
      <c r="K869" s="2"/>
      <c r="L869" s="2"/>
      <c r="M869" s="2"/>
      <c r="N869" s="6"/>
      <c r="O869" s="6"/>
      <c r="P869" s="6"/>
      <c r="Q869" s="6"/>
      <c r="R869" s="4"/>
      <c r="S869" s="4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4"/>
      <c r="G870" s="4"/>
      <c r="H870" s="5"/>
      <c r="I870" s="5"/>
      <c r="J870" s="5"/>
      <c r="K870" s="2"/>
      <c r="L870" s="2"/>
      <c r="M870" s="2"/>
      <c r="N870" s="6"/>
      <c r="O870" s="6"/>
      <c r="P870" s="6"/>
      <c r="Q870" s="6"/>
      <c r="R870" s="4"/>
      <c r="S870" s="4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4"/>
      <c r="G871" s="4"/>
      <c r="H871" s="5"/>
      <c r="I871" s="5"/>
      <c r="J871" s="5"/>
      <c r="K871" s="2"/>
      <c r="L871" s="2"/>
      <c r="M871" s="2"/>
      <c r="N871" s="6"/>
      <c r="O871" s="6"/>
      <c r="P871" s="6"/>
      <c r="Q871" s="6"/>
      <c r="R871" s="4"/>
      <c r="S871" s="4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4"/>
      <c r="G872" s="4"/>
      <c r="H872" s="5"/>
      <c r="I872" s="5"/>
      <c r="J872" s="5"/>
      <c r="K872" s="2"/>
      <c r="L872" s="2"/>
      <c r="M872" s="2"/>
      <c r="N872" s="6"/>
      <c r="O872" s="6"/>
      <c r="P872" s="6"/>
      <c r="Q872" s="6"/>
      <c r="R872" s="4"/>
      <c r="S872" s="4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4"/>
      <c r="G873" s="4"/>
      <c r="H873" s="5"/>
      <c r="I873" s="5"/>
      <c r="J873" s="5"/>
      <c r="K873" s="2"/>
      <c r="L873" s="2"/>
      <c r="M873" s="2"/>
      <c r="N873" s="6"/>
      <c r="O873" s="6"/>
      <c r="P873" s="6"/>
      <c r="Q873" s="6"/>
      <c r="R873" s="4"/>
      <c r="S873" s="4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4"/>
      <c r="G874" s="4"/>
      <c r="H874" s="5"/>
      <c r="I874" s="5"/>
      <c r="J874" s="5"/>
      <c r="K874" s="2"/>
      <c r="L874" s="2"/>
      <c r="M874" s="2"/>
      <c r="N874" s="6"/>
      <c r="O874" s="6"/>
      <c r="P874" s="6"/>
      <c r="Q874" s="6"/>
      <c r="R874" s="4"/>
      <c r="S874" s="4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4"/>
      <c r="G875" s="4"/>
      <c r="H875" s="5"/>
      <c r="I875" s="5"/>
      <c r="J875" s="5"/>
      <c r="K875" s="2"/>
      <c r="L875" s="2"/>
      <c r="M875" s="2"/>
      <c r="N875" s="6"/>
      <c r="O875" s="6"/>
      <c r="P875" s="6"/>
      <c r="Q875" s="6"/>
      <c r="R875" s="4"/>
      <c r="S875" s="4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4"/>
      <c r="G876" s="4"/>
      <c r="H876" s="5"/>
      <c r="I876" s="5"/>
      <c r="J876" s="5"/>
      <c r="K876" s="2"/>
      <c r="L876" s="2"/>
      <c r="M876" s="2"/>
      <c r="N876" s="6"/>
      <c r="O876" s="6"/>
      <c r="P876" s="6"/>
      <c r="Q876" s="6"/>
      <c r="R876" s="4"/>
      <c r="S876" s="4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4"/>
      <c r="G877" s="4"/>
      <c r="H877" s="5"/>
      <c r="I877" s="5"/>
      <c r="J877" s="5"/>
      <c r="K877" s="2"/>
      <c r="L877" s="2"/>
      <c r="M877" s="2"/>
      <c r="N877" s="6"/>
      <c r="O877" s="6"/>
      <c r="P877" s="6"/>
      <c r="Q877" s="6"/>
      <c r="R877" s="4"/>
      <c r="S877" s="4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4"/>
      <c r="G878" s="4"/>
      <c r="H878" s="5"/>
      <c r="I878" s="5"/>
      <c r="J878" s="5"/>
      <c r="K878" s="2"/>
      <c r="L878" s="2"/>
      <c r="M878" s="2"/>
      <c r="N878" s="6"/>
      <c r="O878" s="6"/>
      <c r="P878" s="6"/>
      <c r="Q878" s="6"/>
      <c r="R878" s="4"/>
      <c r="S878" s="4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4"/>
      <c r="G879" s="4"/>
      <c r="H879" s="5"/>
      <c r="I879" s="5"/>
      <c r="J879" s="5"/>
      <c r="K879" s="2"/>
      <c r="L879" s="2"/>
      <c r="M879" s="2"/>
      <c r="N879" s="6"/>
      <c r="O879" s="6"/>
      <c r="P879" s="6"/>
      <c r="Q879" s="6"/>
      <c r="R879" s="4"/>
      <c r="S879" s="4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4"/>
      <c r="G880" s="4"/>
      <c r="H880" s="5"/>
      <c r="I880" s="5"/>
      <c r="J880" s="5"/>
      <c r="K880" s="2"/>
      <c r="L880" s="2"/>
      <c r="M880" s="2"/>
      <c r="N880" s="6"/>
      <c r="O880" s="6"/>
      <c r="P880" s="6"/>
      <c r="Q880" s="6"/>
      <c r="R880" s="4"/>
      <c r="S880" s="4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4"/>
      <c r="G881" s="4"/>
      <c r="H881" s="5"/>
      <c r="I881" s="5"/>
      <c r="J881" s="5"/>
      <c r="K881" s="2"/>
      <c r="L881" s="2"/>
      <c r="M881" s="2"/>
      <c r="N881" s="6"/>
      <c r="O881" s="6"/>
      <c r="P881" s="6"/>
      <c r="Q881" s="6"/>
      <c r="R881" s="4"/>
      <c r="S881" s="4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4"/>
      <c r="G882" s="4"/>
      <c r="H882" s="5"/>
      <c r="I882" s="5"/>
      <c r="J882" s="5"/>
      <c r="K882" s="2"/>
      <c r="L882" s="2"/>
      <c r="M882" s="2"/>
      <c r="N882" s="6"/>
      <c r="O882" s="6"/>
      <c r="P882" s="6"/>
      <c r="Q882" s="6"/>
      <c r="R882" s="4"/>
      <c r="S882" s="4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4"/>
      <c r="G883" s="4"/>
      <c r="H883" s="5"/>
      <c r="I883" s="5"/>
      <c r="J883" s="5"/>
      <c r="K883" s="2"/>
      <c r="L883" s="2"/>
      <c r="M883" s="2"/>
      <c r="N883" s="6"/>
      <c r="O883" s="6"/>
      <c r="P883" s="6"/>
      <c r="Q883" s="6"/>
      <c r="R883" s="4"/>
      <c r="S883" s="4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4"/>
      <c r="G884" s="4"/>
      <c r="H884" s="5"/>
      <c r="I884" s="5"/>
      <c r="J884" s="5"/>
      <c r="K884" s="2"/>
      <c r="L884" s="2"/>
      <c r="M884" s="2"/>
      <c r="N884" s="6"/>
      <c r="O884" s="6"/>
      <c r="P884" s="6"/>
      <c r="Q884" s="6"/>
      <c r="R884" s="4"/>
      <c r="S884" s="4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4"/>
      <c r="G885" s="4"/>
      <c r="H885" s="5"/>
      <c r="I885" s="5"/>
      <c r="J885" s="5"/>
      <c r="K885" s="2"/>
      <c r="L885" s="2"/>
      <c r="M885" s="2"/>
      <c r="N885" s="6"/>
      <c r="O885" s="6"/>
      <c r="P885" s="6"/>
      <c r="Q885" s="6"/>
      <c r="R885" s="4"/>
      <c r="S885" s="4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4"/>
      <c r="G886" s="4"/>
      <c r="H886" s="5"/>
      <c r="I886" s="5"/>
      <c r="J886" s="5"/>
      <c r="K886" s="2"/>
      <c r="L886" s="2"/>
      <c r="M886" s="2"/>
      <c r="N886" s="6"/>
      <c r="O886" s="6"/>
      <c r="P886" s="6"/>
      <c r="Q886" s="6"/>
      <c r="R886" s="4"/>
      <c r="S886" s="4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4"/>
      <c r="G887" s="4"/>
      <c r="H887" s="5"/>
      <c r="I887" s="5"/>
      <c r="J887" s="5"/>
      <c r="K887" s="2"/>
      <c r="L887" s="2"/>
      <c r="M887" s="2"/>
      <c r="N887" s="6"/>
      <c r="O887" s="6"/>
      <c r="P887" s="6"/>
      <c r="Q887" s="6"/>
      <c r="R887" s="4"/>
      <c r="S887" s="4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4"/>
      <c r="G888" s="4"/>
      <c r="H888" s="5"/>
      <c r="I888" s="5"/>
      <c r="J888" s="5"/>
      <c r="K888" s="2"/>
      <c r="L888" s="2"/>
      <c r="M888" s="2"/>
      <c r="N888" s="6"/>
      <c r="O888" s="6"/>
      <c r="P888" s="6"/>
      <c r="Q888" s="6"/>
      <c r="R888" s="4"/>
      <c r="S888" s="4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4"/>
      <c r="G889" s="4"/>
      <c r="H889" s="5"/>
      <c r="I889" s="5"/>
      <c r="J889" s="5"/>
      <c r="K889" s="2"/>
      <c r="L889" s="2"/>
      <c r="M889" s="2"/>
      <c r="N889" s="6"/>
      <c r="O889" s="6"/>
      <c r="P889" s="6"/>
      <c r="Q889" s="6"/>
      <c r="R889" s="4"/>
      <c r="S889" s="4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4"/>
      <c r="G890" s="4"/>
      <c r="H890" s="5"/>
      <c r="I890" s="5"/>
      <c r="J890" s="5"/>
      <c r="K890" s="2"/>
      <c r="L890" s="2"/>
      <c r="M890" s="2"/>
      <c r="N890" s="6"/>
      <c r="O890" s="6"/>
      <c r="P890" s="6"/>
      <c r="Q890" s="6"/>
      <c r="R890" s="4"/>
      <c r="S890" s="4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4"/>
      <c r="G891" s="4"/>
      <c r="H891" s="5"/>
      <c r="I891" s="5"/>
      <c r="J891" s="5"/>
      <c r="K891" s="2"/>
      <c r="L891" s="2"/>
      <c r="M891" s="2"/>
      <c r="N891" s="6"/>
      <c r="O891" s="6"/>
      <c r="P891" s="6"/>
      <c r="Q891" s="6"/>
      <c r="R891" s="4"/>
      <c r="S891" s="4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4"/>
      <c r="G892" s="4"/>
      <c r="H892" s="5"/>
      <c r="I892" s="5"/>
      <c r="J892" s="5"/>
      <c r="K892" s="2"/>
      <c r="L892" s="2"/>
      <c r="M892" s="2"/>
      <c r="N892" s="6"/>
      <c r="O892" s="6"/>
      <c r="P892" s="6"/>
      <c r="Q892" s="6"/>
      <c r="R892" s="4"/>
      <c r="S892" s="4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4"/>
      <c r="G893" s="4"/>
      <c r="H893" s="5"/>
      <c r="I893" s="5"/>
      <c r="J893" s="5"/>
      <c r="K893" s="2"/>
      <c r="L893" s="2"/>
      <c r="M893" s="2"/>
      <c r="N893" s="6"/>
      <c r="O893" s="6"/>
      <c r="P893" s="6"/>
      <c r="Q893" s="6"/>
      <c r="R893" s="4"/>
      <c r="S893" s="4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4"/>
      <c r="G894" s="4"/>
      <c r="H894" s="5"/>
      <c r="I894" s="5"/>
      <c r="J894" s="5"/>
      <c r="K894" s="2"/>
      <c r="L894" s="2"/>
      <c r="M894" s="2"/>
      <c r="N894" s="6"/>
      <c r="O894" s="6"/>
      <c r="P894" s="6"/>
      <c r="Q894" s="6"/>
      <c r="R894" s="4"/>
      <c r="S894" s="4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4"/>
      <c r="G895" s="4"/>
      <c r="H895" s="5"/>
      <c r="I895" s="5"/>
      <c r="J895" s="5"/>
      <c r="K895" s="2"/>
      <c r="L895" s="2"/>
      <c r="M895" s="2"/>
      <c r="N895" s="6"/>
      <c r="O895" s="6"/>
      <c r="P895" s="6"/>
      <c r="Q895" s="6"/>
      <c r="R895" s="4"/>
      <c r="S895" s="4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4"/>
      <c r="G896" s="4"/>
      <c r="H896" s="5"/>
      <c r="I896" s="5"/>
      <c r="J896" s="5"/>
      <c r="K896" s="2"/>
      <c r="L896" s="2"/>
      <c r="M896" s="2"/>
      <c r="N896" s="6"/>
      <c r="O896" s="6"/>
      <c r="P896" s="6"/>
      <c r="Q896" s="6"/>
      <c r="R896" s="4"/>
      <c r="S896" s="4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4"/>
      <c r="G897" s="4"/>
      <c r="H897" s="5"/>
      <c r="I897" s="5"/>
      <c r="J897" s="5"/>
      <c r="K897" s="2"/>
      <c r="L897" s="2"/>
      <c r="M897" s="2"/>
      <c r="N897" s="6"/>
      <c r="O897" s="6"/>
      <c r="P897" s="6"/>
      <c r="Q897" s="6"/>
      <c r="R897" s="4"/>
      <c r="S897" s="4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4"/>
      <c r="G898" s="4"/>
      <c r="H898" s="5"/>
      <c r="I898" s="5"/>
      <c r="J898" s="5"/>
      <c r="K898" s="2"/>
      <c r="L898" s="2"/>
      <c r="M898" s="2"/>
      <c r="N898" s="6"/>
      <c r="O898" s="6"/>
      <c r="P898" s="6"/>
      <c r="Q898" s="6"/>
      <c r="R898" s="4"/>
      <c r="S898" s="4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4"/>
      <c r="G899" s="4"/>
      <c r="H899" s="5"/>
      <c r="I899" s="5"/>
      <c r="J899" s="5"/>
      <c r="K899" s="2"/>
      <c r="L899" s="2"/>
      <c r="M899" s="2"/>
      <c r="N899" s="6"/>
      <c r="O899" s="6"/>
      <c r="P899" s="6"/>
      <c r="Q899" s="6"/>
      <c r="R899" s="4"/>
      <c r="S899" s="4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4"/>
      <c r="G900" s="4"/>
      <c r="H900" s="5"/>
      <c r="I900" s="5"/>
      <c r="J900" s="5"/>
      <c r="K900" s="2"/>
      <c r="L900" s="2"/>
      <c r="M900" s="2"/>
      <c r="N900" s="6"/>
      <c r="O900" s="6"/>
      <c r="P900" s="6"/>
      <c r="Q900" s="6"/>
      <c r="R900" s="4"/>
      <c r="S900" s="4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4"/>
      <c r="G901" s="4"/>
      <c r="H901" s="5"/>
      <c r="I901" s="5"/>
      <c r="J901" s="5"/>
      <c r="K901" s="2"/>
      <c r="L901" s="2"/>
      <c r="M901" s="2"/>
      <c r="N901" s="6"/>
      <c r="O901" s="6"/>
      <c r="P901" s="6"/>
      <c r="Q901" s="6"/>
      <c r="R901" s="4"/>
      <c r="S901" s="4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4"/>
      <c r="G902" s="4"/>
      <c r="H902" s="5"/>
      <c r="I902" s="5"/>
      <c r="J902" s="5"/>
      <c r="K902" s="2"/>
      <c r="L902" s="2"/>
      <c r="M902" s="2"/>
      <c r="N902" s="6"/>
      <c r="O902" s="6"/>
      <c r="P902" s="6"/>
      <c r="Q902" s="6"/>
      <c r="R902" s="4"/>
      <c r="S902" s="4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4"/>
      <c r="G903" s="4"/>
      <c r="H903" s="5"/>
      <c r="I903" s="5"/>
      <c r="J903" s="5"/>
      <c r="K903" s="2"/>
      <c r="L903" s="2"/>
      <c r="M903" s="2"/>
      <c r="N903" s="6"/>
      <c r="O903" s="6"/>
      <c r="P903" s="6"/>
      <c r="Q903" s="6"/>
      <c r="R903" s="4"/>
      <c r="S903" s="4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4"/>
      <c r="G904" s="4"/>
      <c r="H904" s="5"/>
      <c r="I904" s="5"/>
      <c r="J904" s="5"/>
      <c r="K904" s="2"/>
      <c r="L904" s="2"/>
      <c r="M904" s="2"/>
      <c r="N904" s="6"/>
      <c r="O904" s="6"/>
      <c r="P904" s="6"/>
      <c r="Q904" s="6"/>
      <c r="R904" s="4"/>
      <c r="S904" s="4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4"/>
      <c r="G905" s="4"/>
      <c r="H905" s="5"/>
      <c r="I905" s="5"/>
      <c r="J905" s="5"/>
      <c r="K905" s="2"/>
      <c r="L905" s="2"/>
      <c r="M905" s="2"/>
      <c r="N905" s="6"/>
      <c r="O905" s="6"/>
      <c r="P905" s="6"/>
      <c r="Q905" s="6"/>
      <c r="R905" s="4"/>
      <c r="S905" s="4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4"/>
      <c r="G906" s="4"/>
      <c r="H906" s="5"/>
      <c r="I906" s="5"/>
      <c r="J906" s="5"/>
      <c r="K906" s="2"/>
      <c r="L906" s="2"/>
      <c r="M906" s="2"/>
      <c r="N906" s="6"/>
      <c r="O906" s="6"/>
      <c r="P906" s="6"/>
      <c r="Q906" s="6"/>
      <c r="R906" s="4"/>
      <c r="S906" s="4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4"/>
      <c r="G907" s="4"/>
      <c r="H907" s="5"/>
      <c r="I907" s="5"/>
      <c r="J907" s="5"/>
      <c r="K907" s="2"/>
      <c r="L907" s="2"/>
      <c r="M907" s="2"/>
      <c r="N907" s="6"/>
      <c r="O907" s="6"/>
      <c r="P907" s="6"/>
      <c r="Q907" s="6"/>
      <c r="R907" s="4"/>
      <c r="S907" s="4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4"/>
      <c r="G908" s="4"/>
      <c r="H908" s="5"/>
      <c r="I908" s="5"/>
      <c r="J908" s="5"/>
      <c r="K908" s="2"/>
      <c r="L908" s="2"/>
      <c r="M908" s="2"/>
      <c r="N908" s="6"/>
      <c r="O908" s="6"/>
      <c r="P908" s="6"/>
      <c r="Q908" s="6"/>
      <c r="R908" s="4"/>
      <c r="S908" s="4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4"/>
      <c r="G909" s="4"/>
      <c r="H909" s="5"/>
      <c r="I909" s="5"/>
      <c r="J909" s="5"/>
      <c r="K909" s="2"/>
      <c r="L909" s="2"/>
      <c r="M909" s="2"/>
      <c r="N909" s="6"/>
      <c r="O909" s="6"/>
      <c r="P909" s="6"/>
      <c r="Q909" s="6"/>
      <c r="R909" s="4"/>
      <c r="S909" s="4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4"/>
      <c r="G910" s="4"/>
      <c r="H910" s="5"/>
      <c r="I910" s="5"/>
      <c r="J910" s="5"/>
      <c r="K910" s="2"/>
      <c r="L910" s="2"/>
      <c r="M910" s="2"/>
      <c r="N910" s="6"/>
      <c r="O910" s="6"/>
      <c r="P910" s="6"/>
      <c r="Q910" s="6"/>
      <c r="R910" s="4"/>
      <c r="S910" s="4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4"/>
      <c r="G911" s="4"/>
      <c r="H911" s="5"/>
      <c r="I911" s="5"/>
      <c r="J911" s="5"/>
      <c r="K911" s="2"/>
      <c r="L911" s="2"/>
      <c r="M911" s="2"/>
      <c r="N911" s="6"/>
      <c r="O911" s="6"/>
      <c r="P911" s="6"/>
      <c r="Q911" s="6"/>
      <c r="R911" s="4"/>
      <c r="S911" s="4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4"/>
      <c r="G912" s="4"/>
      <c r="H912" s="5"/>
      <c r="I912" s="5"/>
      <c r="J912" s="5"/>
      <c r="K912" s="2"/>
      <c r="L912" s="2"/>
      <c r="M912" s="2"/>
      <c r="N912" s="6"/>
      <c r="O912" s="6"/>
      <c r="P912" s="6"/>
      <c r="Q912" s="6"/>
      <c r="R912" s="4"/>
      <c r="S912" s="4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4"/>
      <c r="G913" s="4"/>
      <c r="H913" s="5"/>
      <c r="I913" s="5"/>
      <c r="J913" s="5"/>
      <c r="K913" s="2"/>
      <c r="L913" s="2"/>
      <c r="M913" s="2"/>
      <c r="N913" s="6"/>
      <c r="O913" s="6"/>
      <c r="P913" s="6"/>
      <c r="Q913" s="6"/>
      <c r="R913" s="4"/>
      <c r="S913" s="4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4"/>
      <c r="G914" s="4"/>
      <c r="H914" s="5"/>
      <c r="I914" s="5"/>
      <c r="J914" s="5"/>
      <c r="K914" s="2"/>
      <c r="L914" s="2"/>
      <c r="M914" s="2"/>
      <c r="N914" s="6"/>
      <c r="O914" s="6"/>
      <c r="P914" s="6"/>
      <c r="Q914" s="6"/>
      <c r="R914" s="4"/>
      <c r="S914" s="4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4"/>
      <c r="G915" s="4"/>
      <c r="H915" s="5"/>
      <c r="I915" s="5"/>
      <c r="J915" s="5"/>
      <c r="K915" s="2"/>
      <c r="L915" s="2"/>
      <c r="M915" s="2"/>
      <c r="N915" s="6"/>
      <c r="O915" s="6"/>
      <c r="P915" s="6"/>
      <c r="Q915" s="6"/>
      <c r="R915" s="4"/>
      <c r="S915" s="4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4"/>
      <c r="G916" s="4"/>
      <c r="H916" s="5"/>
      <c r="I916" s="5"/>
      <c r="J916" s="5"/>
      <c r="K916" s="2"/>
      <c r="L916" s="2"/>
      <c r="M916" s="2"/>
      <c r="N916" s="6"/>
      <c r="O916" s="6"/>
      <c r="P916" s="6"/>
      <c r="Q916" s="6"/>
      <c r="R916" s="4"/>
      <c r="S916" s="4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4"/>
      <c r="G917" s="4"/>
      <c r="H917" s="5"/>
      <c r="I917" s="5"/>
      <c r="J917" s="5"/>
      <c r="K917" s="2"/>
      <c r="L917" s="2"/>
      <c r="M917" s="2"/>
      <c r="N917" s="6"/>
      <c r="O917" s="6"/>
      <c r="P917" s="6"/>
      <c r="Q917" s="6"/>
      <c r="R917" s="4"/>
      <c r="S917" s="4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4"/>
      <c r="G918" s="4"/>
      <c r="H918" s="5"/>
      <c r="I918" s="5"/>
      <c r="J918" s="5"/>
      <c r="K918" s="2"/>
      <c r="L918" s="2"/>
      <c r="M918" s="2"/>
      <c r="N918" s="6"/>
      <c r="O918" s="6"/>
      <c r="P918" s="6"/>
      <c r="Q918" s="6"/>
      <c r="R918" s="4"/>
      <c r="S918" s="4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4"/>
      <c r="G919" s="4"/>
      <c r="H919" s="5"/>
      <c r="I919" s="5"/>
      <c r="J919" s="5"/>
      <c r="K919" s="2"/>
      <c r="L919" s="2"/>
      <c r="M919" s="2"/>
      <c r="N919" s="6"/>
      <c r="O919" s="6"/>
      <c r="P919" s="6"/>
      <c r="Q919" s="6"/>
      <c r="R919" s="4"/>
      <c r="S919" s="4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4"/>
      <c r="G920" s="4"/>
      <c r="H920" s="5"/>
      <c r="I920" s="5"/>
      <c r="J920" s="5"/>
      <c r="K920" s="2"/>
      <c r="L920" s="2"/>
      <c r="M920" s="2"/>
      <c r="N920" s="6"/>
      <c r="O920" s="6"/>
      <c r="P920" s="6"/>
      <c r="Q920" s="6"/>
      <c r="R920" s="4"/>
      <c r="S920" s="4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4"/>
      <c r="G921" s="4"/>
      <c r="H921" s="5"/>
      <c r="I921" s="5"/>
      <c r="J921" s="5"/>
      <c r="K921" s="2"/>
      <c r="L921" s="2"/>
      <c r="M921" s="2"/>
      <c r="N921" s="6"/>
      <c r="O921" s="6"/>
      <c r="P921" s="6"/>
      <c r="Q921" s="6"/>
      <c r="R921" s="4"/>
      <c r="S921" s="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4"/>
      <c r="G922" s="4"/>
      <c r="H922" s="5"/>
      <c r="I922" s="5"/>
      <c r="J922" s="5"/>
      <c r="K922" s="2"/>
      <c r="L922" s="2"/>
      <c r="M922" s="2"/>
      <c r="N922" s="6"/>
      <c r="O922" s="6"/>
      <c r="P922" s="6"/>
      <c r="Q922" s="6"/>
      <c r="R922" s="4"/>
      <c r="S922" s="4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4"/>
      <c r="G923" s="4"/>
      <c r="H923" s="5"/>
      <c r="I923" s="5"/>
      <c r="J923" s="5"/>
      <c r="K923" s="2"/>
      <c r="L923" s="2"/>
      <c r="M923" s="2"/>
      <c r="N923" s="6"/>
      <c r="O923" s="6"/>
      <c r="P923" s="6"/>
      <c r="Q923" s="6"/>
      <c r="R923" s="4"/>
      <c r="S923" s="4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4"/>
      <c r="G924" s="4"/>
      <c r="H924" s="5"/>
      <c r="I924" s="5"/>
      <c r="J924" s="5"/>
      <c r="K924" s="2"/>
      <c r="L924" s="2"/>
      <c r="M924" s="2"/>
      <c r="N924" s="6"/>
      <c r="O924" s="6"/>
      <c r="P924" s="6"/>
      <c r="Q924" s="6"/>
      <c r="R924" s="4"/>
      <c r="S924" s="4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4"/>
      <c r="G925" s="4"/>
      <c r="H925" s="5"/>
      <c r="I925" s="5"/>
      <c r="J925" s="5"/>
      <c r="K925" s="2"/>
      <c r="L925" s="2"/>
      <c r="M925" s="2"/>
      <c r="N925" s="6"/>
      <c r="O925" s="6"/>
      <c r="P925" s="6"/>
      <c r="Q925" s="6"/>
      <c r="R925" s="4"/>
      <c r="S925" s="4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4"/>
      <c r="G926" s="4"/>
      <c r="H926" s="5"/>
      <c r="I926" s="5"/>
      <c r="J926" s="5"/>
      <c r="K926" s="2"/>
      <c r="L926" s="2"/>
      <c r="M926" s="2"/>
      <c r="N926" s="6"/>
      <c r="O926" s="6"/>
      <c r="P926" s="6"/>
      <c r="Q926" s="6"/>
      <c r="R926" s="4"/>
      <c r="S926" s="4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4"/>
      <c r="G927" s="4"/>
      <c r="H927" s="5"/>
      <c r="I927" s="5"/>
      <c r="J927" s="5"/>
      <c r="K927" s="2"/>
      <c r="L927" s="2"/>
      <c r="M927" s="2"/>
      <c r="N927" s="6"/>
      <c r="O927" s="6"/>
      <c r="P927" s="6"/>
      <c r="Q927" s="6"/>
      <c r="R927" s="4"/>
      <c r="S927" s="4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4"/>
      <c r="G928" s="4"/>
      <c r="H928" s="5"/>
      <c r="I928" s="5"/>
      <c r="J928" s="5"/>
      <c r="K928" s="2"/>
      <c r="L928" s="2"/>
      <c r="M928" s="2"/>
      <c r="N928" s="6"/>
      <c r="O928" s="6"/>
      <c r="P928" s="6"/>
      <c r="Q928" s="6"/>
      <c r="R928" s="4"/>
      <c r="S928" s="4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4"/>
      <c r="G929" s="4"/>
      <c r="H929" s="5"/>
      <c r="I929" s="5"/>
      <c r="J929" s="5"/>
      <c r="K929" s="2"/>
      <c r="L929" s="2"/>
      <c r="M929" s="2"/>
      <c r="N929" s="6"/>
      <c r="O929" s="6"/>
      <c r="P929" s="6"/>
      <c r="Q929" s="6"/>
      <c r="R929" s="4"/>
      <c r="S929" s="4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4"/>
      <c r="G930" s="4"/>
      <c r="H930" s="5"/>
      <c r="I930" s="5"/>
      <c r="J930" s="5"/>
      <c r="K930" s="2"/>
      <c r="L930" s="2"/>
      <c r="M930" s="2"/>
      <c r="N930" s="6"/>
      <c r="O930" s="6"/>
      <c r="P930" s="6"/>
      <c r="Q930" s="6"/>
      <c r="R930" s="4"/>
      <c r="S930" s="4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4"/>
      <c r="G931" s="4"/>
      <c r="H931" s="5"/>
      <c r="I931" s="5"/>
      <c r="J931" s="5"/>
      <c r="K931" s="2"/>
      <c r="L931" s="2"/>
      <c r="M931" s="2"/>
      <c r="N931" s="6"/>
      <c r="O931" s="6"/>
      <c r="P931" s="6"/>
      <c r="Q931" s="6"/>
      <c r="R931" s="4"/>
      <c r="S931" s="4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4"/>
      <c r="G932" s="4"/>
      <c r="H932" s="5"/>
      <c r="I932" s="5"/>
      <c r="J932" s="5"/>
      <c r="K932" s="2"/>
      <c r="L932" s="2"/>
      <c r="M932" s="2"/>
      <c r="N932" s="6"/>
      <c r="O932" s="6"/>
      <c r="P932" s="6"/>
      <c r="Q932" s="6"/>
      <c r="R932" s="4"/>
      <c r="S932" s="4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4"/>
      <c r="G933" s="4"/>
      <c r="H933" s="5"/>
      <c r="I933" s="5"/>
      <c r="J933" s="5"/>
      <c r="K933" s="2"/>
      <c r="L933" s="2"/>
      <c r="M933" s="2"/>
      <c r="N933" s="6"/>
      <c r="O933" s="6"/>
      <c r="P933" s="6"/>
      <c r="Q933" s="6"/>
      <c r="R933" s="4"/>
      <c r="S933" s="4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4"/>
      <c r="G934" s="4"/>
      <c r="H934" s="5"/>
      <c r="I934" s="5"/>
      <c r="J934" s="5"/>
      <c r="K934" s="2"/>
      <c r="L934" s="2"/>
      <c r="M934" s="2"/>
      <c r="N934" s="6"/>
      <c r="O934" s="6"/>
      <c r="P934" s="6"/>
      <c r="Q934" s="6"/>
      <c r="R934" s="4"/>
      <c r="S934" s="4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4"/>
      <c r="G935" s="4"/>
      <c r="H935" s="5"/>
      <c r="I935" s="5"/>
      <c r="J935" s="5"/>
      <c r="K935" s="2"/>
      <c r="L935" s="2"/>
      <c r="M935" s="2"/>
      <c r="N935" s="6"/>
      <c r="O935" s="6"/>
      <c r="P935" s="6"/>
      <c r="Q935" s="6"/>
      <c r="R935" s="4"/>
      <c r="S935" s="4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4"/>
      <c r="G936" s="4"/>
      <c r="H936" s="5"/>
      <c r="I936" s="5"/>
      <c r="J936" s="5"/>
      <c r="K936" s="2"/>
      <c r="L936" s="2"/>
      <c r="M936" s="2"/>
      <c r="N936" s="6"/>
      <c r="O936" s="6"/>
      <c r="P936" s="6"/>
      <c r="Q936" s="6"/>
      <c r="R936" s="4"/>
      <c r="S936" s="4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4"/>
      <c r="G937" s="4"/>
      <c r="H937" s="5"/>
      <c r="I937" s="5"/>
      <c r="J937" s="5"/>
      <c r="K937" s="2"/>
      <c r="L937" s="2"/>
      <c r="M937" s="2"/>
      <c r="N937" s="6"/>
      <c r="O937" s="6"/>
      <c r="P937" s="6"/>
      <c r="Q937" s="6"/>
      <c r="R937" s="4"/>
      <c r="S937" s="4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4"/>
      <c r="G938" s="4"/>
      <c r="H938" s="5"/>
      <c r="I938" s="5"/>
      <c r="J938" s="5"/>
      <c r="K938" s="2"/>
      <c r="L938" s="2"/>
      <c r="M938" s="2"/>
      <c r="N938" s="6"/>
      <c r="O938" s="6"/>
      <c r="P938" s="6"/>
      <c r="Q938" s="6"/>
      <c r="R938" s="4"/>
      <c r="S938" s="4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4"/>
      <c r="G939" s="4"/>
      <c r="H939" s="5"/>
      <c r="I939" s="5"/>
      <c r="J939" s="5"/>
      <c r="K939" s="2"/>
      <c r="L939" s="2"/>
      <c r="M939" s="2"/>
      <c r="N939" s="6"/>
      <c r="O939" s="6"/>
      <c r="P939" s="6"/>
      <c r="Q939" s="6"/>
      <c r="R939" s="4"/>
      <c r="S939" s="4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4"/>
      <c r="G940" s="4"/>
      <c r="H940" s="5"/>
      <c r="I940" s="5"/>
      <c r="J940" s="5"/>
      <c r="K940" s="2"/>
      <c r="L940" s="2"/>
      <c r="M940" s="2"/>
      <c r="N940" s="6"/>
      <c r="O940" s="6"/>
      <c r="P940" s="6"/>
      <c r="Q940" s="6"/>
      <c r="R940" s="4"/>
      <c r="S940" s="4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4"/>
      <c r="G941" s="4"/>
      <c r="H941" s="5"/>
      <c r="I941" s="5"/>
      <c r="J941" s="5"/>
      <c r="K941" s="2"/>
      <c r="L941" s="2"/>
      <c r="M941" s="2"/>
      <c r="N941" s="6"/>
      <c r="O941" s="6"/>
      <c r="P941" s="6"/>
      <c r="Q941" s="6"/>
      <c r="R941" s="4"/>
      <c r="S941" s="4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4"/>
      <c r="G942" s="4"/>
      <c r="H942" s="5"/>
      <c r="I942" s="5"/>
      <c r="J942" s="5"/>
      <c r="K942" s="2"/>
      <c r="L942" s="2"/>
      <c r="M942" s="2"/>
      <c r="N942" s="6"/>
      <c r="O942" s="6"/>
      <c r="P942" s="6"/>
      <c r="Q942" s="6"/>
      <c r="R942" s="4"/>
      <c r="S942" s="4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4"/>
      <c r="G943" s="4"/>
      <c r="H943" s="5"/>
      <c r="I943" s="5"/>
      <c r="J943" s="5"/>
      <c r="K943" s="2"/>
      <c r="L943" s="2"/>
      <c r="M943" s="2"/>
      <c r="N943" s="6"/>
      <c r="O943" s="6"/>
      <c r="P943" s="6"/>
      <c r="Q943" s="6"/>
      <c r="R943" s="4"/>
      <c r="S943" s="4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4"/>
      <c r="G944" s="4"/>
      <c r="H944" s="5"/>
      <c r="I944" s="5"/>
      <c r="J944" s="5"/>
      <c r="K944" s="2"/>
      <c r="L944" s="2"/>
      <c r="M944" s="2"/>
      <c r="N944" s="6"/>
      <c r="O944" s="6"/>
      <c r="P944" s="6"/>
      <c r="Q944" s="6"/>
      <c r="R944" s="4"/>
      <c r="S944" s="4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4"/>
      <c r="G945" s="4"/>
      <c r="H945" s="5"/>
      <c r="I945" s="5"/>
      <c r="J945" s="5"/>
      <c r="K945" s="2"/>
      <c r="L945" s="2"/>
      <c r="M945" s="2"/>
      <c r="N945" s="6"/>
      <c r="O945" s="6"/>
      <c r="P945" s="6"/>
      <c r="Q945" s="6"/>
      <c r="R945" s="4"/>
      <c r="S945" s="4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4"/>
      <c r="G946" s="4"/>
      <c r="H946" s="5"/>
      <c r="I946" s="5"/>
      <c r="J946" s="5"/>
      <c r="K946" s="2"/>
      <c r="L946" s="2"/>
      <c r="M946" s="2"/>
      <c r="N946" s="6"/>
      <c r="O946" s="6"/>
      <c r="P946" s="6"/>
      <c r="Q946" s="6"/>
      <c r="R946" s="4"/>
      <c r="S946" s="4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4"/>
      <c r="G947" s="4"/>
      <c r="H947" s="5"/>
      <c r="I947" s="5"/>
      <c r="J947" s="5"/>
      <c r="K947" s="2"/>
      <c r="L947" s="2"/>
      <c r="M947" s="2"/>
      <c r="N947" s="6"/>
      <c r="O947" s="6"/>
      <c r="P947" s="6"/>
      <c r="Q947" s="6"/>
      <c r="R947" s="4"/>
      <c r="S947" s="4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4"/>
      <c r="G948" s="4"/>
      <c r="H948" s="5"/>
      <c r="I948" s="5"/>
      <c r="J948" s="5"/>
      <c r="K948" s="2"/>
      <c r="L948" s="2"/>
      <c r="M948" s="2"/>
      <c r="N948" s="6"/>
      <c r="O948" s="6"/>
      <c r="P948" s="6"/>
      <c r="Q948" s="6"/>
      <c r="R948" s="4"/>
      <c r="S948" s="4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4"/>
      <c r="G949" s="4"/>
      <c r="H949" s="5"/>
      <c r="I949" s="5"/>
      <c r="J949" s="5"/>
      <c r="K949" s="2"/>
      <c r="L949" s="2"/>
      <c r="M949" s="2"/>
      <c r="N949" s="6"/>
      <c r="O949" s="6"/>
      <c r="P949" s="6"/>
      <c r="Q949" s="6"/>
      <c r="R949" s="4"/>
      <c r="S949" s="4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4"/>
      <c r="G950" s="4"/>
      <c r="H950" s="5"/>
      <c r="I950" s="5"/>
      <c r="J950" s="5"/>
      <c r="K950" s="2"/>
      <c r="L950" s="2"/>
      <c r="M950" s="2"/>
      <c r="N950" s="6"/>
      <c r="O950" s="6"/>
      <c r="P950" s="6"/>
      <c r="Q950" s="6"/>
      <c r="R950" s="4"/>
      <c r="S950" s="4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4"/>
      <c r="G951" s="4"/>
      <c r="H951" s="5"/>
      <c r="I951" s="5"/>
      <c r="J951" s="5"/>
      <c r="K951" s="2"/>
      <c r="L951" s="2"/>
      <c r="M951" s="2"/>
      <c r="N951" s="6"/>
      <c r="O951" s="6"/>
      <c r="P951" s="6"/>
      <c r="Q951" s="6"/>
      <c r="R951" s="4"/>
      <c r="S951" s="4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4"/>
      <c r="G952" s="4"/>
      <c r="H952" s="5"/>
      <c r="I952" s="5"/>
      <c r="J952" s="5"/>
      <c r="K952" s="2"/>
      <c r="L952" s="2"/>
      <c r="M952" s="2"/>
      <c r="N952" s="6"/>
      <c r="O952" s="6"/>
      <c r="P952" s="6"/>
      <c r="Q952" s="6"/>
      <c r="R952" s="4"/>
      <c r="S952" s="4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4"/>
      <c r="G953" s="4"/>
      <c r="H953" s="5"/>
      <c r="I953" s="5"/>
      <c r="J953" s="5"/>
      <c r="K953" s="2"/>
      <c r="L953" s="2"/>
      <c r="M953" s="2"/>
      <c r="N953" s="6"/>
      <c r="O953" s="6"/>
      <c r="P953" s="6"/>
      <c r="Q953" s="6"/>
      <c r="R953" s="4"/>
      <c r="S953" s="4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4"/>
      <c r="G954" s="4"/>
      <c r="H954" s="5"/>
      <c r="I954" s="5"/>
      <c r="J954" s="5"/>
      <c r="K954" s="2"/>
      <c r="L954" s="2"/>
      <c r="M954" s="2"/>
      <c r="N954" s="6"/>
      <c r="O954" s="6"/>
      <c r="P954" s="6"/>
      <c r="Q954" s="6"/>
      <c r="R954" s="4"/>
      <c r="S954" s="4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4"/>
      <c r="G955" s="4"/>
      <c r="H955" s="5"/>
      <c r="I955" s="5"/>
      <c r="J955" s="5"/>
      <c r="K955" s="2"/>
      <c r="L955" s="2"/>
      <c r="M955" s="2"/>
      <c r="N955" s="6"/>
      <c r="O955" s="6"/>
      <c r="P955" s="6"/>
      <c r="Q955" s="6"/>
      <c r="R955" s="4"/>
      <c r="S955" s="4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4"/>
      <c r="G956" s="4"/>
      <c r="H956" s="5"/>
      <c r="I956" s="5"/>
      <c r="J956" s="5"/>
      <c r="K956" s="2"/>
      <c r="L956" s="2"/>
      <c r="M956" s="2"/>
      <c r="N956" s="6"/>
      <c r="O956" s="6"/>
      <c r="P956" s="6"/>
      <c r="Q956" s="6"/>
      <c r="R956" s="4"/>
      <c r="S956" s="4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4"/>
      <c r="G957" s="4"/>
      <c r="H957" s="5"/>
      <c r="I957" s="5"/>
      <c r="J957" s="5"/>
      <c r="K957" s="2"/>
      <c r="L957" s="2"/>
      <c r="M957" s="2"/>
      <c r="N957" s="6"/>
      <c r="O957" s="6"/>
      <c r="P957" s="6"/>
      <c r="Q957" s="6"/>
      <c r="R957" s="4"/>
      <c r="S957" s="4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4"/>
      <c r="G958" s="4"/>
      <c r="H958" s="5"/>
      <c r="I958" s="5"/>
      <c r="J958" s="5"/>
      <c r="K958" s="2"/>
      <c r="L958" s="2"/>
      <c r="M958" s="2"/>
      <c r="N958" s="6"/>
      <c r="O958" s="6"/>
      <c r="P958" s="6"/>
      <c r="Q958" s="6"/>
      <c r="R958" s="4"/>
      <c r="S958" s="4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4"/>
      <c r="G959" s="4"/>
      <c r="H959" s="5"/>
      <c r="I959" s="5"/>
      <c r="J959" s="5"/>
      <c r="K959" s="2"/>
      <c r="L959" s="2"/>
      <c r="M959" s="2"/>
      <c r="N959" s="6"/>
      <c r="O959" s="6"/>
      <c r="P959" s="6"/>
      <c r="Q959" s="6"/>
      <c r="R959" s="4"/>
      <c r="S959" s="4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4"/>
      <c r="G960" s="4"/>
      <c r="H960" s="5"/>
      <c r="I960" s="5"/>
      <c r="J960" s="5"/>
      <c r="K960" s="2"/>
      <c r="L960" s="2"/>
      <c r="M960" s="2"/>
      <c r="N960" s="6"/>
      <c r="O960" s="6"/>
      <c r="P960" s="6"/>
      <c r="Q960" s="6"/>
      <c r="R960" s="4"/>
      <c r="S960" s="4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4"/>
      <c r="G961" s="4"/>
      <c r="H961" s="5"/>
      <c r="I961" s="5"/>
      <c r="J961" s="5"/>
      <c r="K961" s="2"/>
      <c r="L961" s="2"/>
      <c r="M961" s="2"/>
      <c r="N961" s="6"/>
      <c r="O961" s="6"/>
      <c r="P961" s="6"/>
      <c r="Q961" s="6"/>
      <c r="R961" s="4"/>
      <c r="S961" s="4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4"/>
      <c r="G962" s="4"/>
      <c r="H962" s="5"/>
      <c r="I962" s="5"/>
      <c r="J962" s="5"/>
      <c r="K962" s="2"/>
      <c r="L962" s="2"/>
      <c r="M962" s="2"/>
      <c r="N962" s="6"/>
      <c r="O962" s="6"/>
      <c r="P962" s="6"/>
      <c r="Q962" s="6"/>
      <c r="R962" s="4"/>
      <c r="S962" s="4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4"/>
      <c r="G963" s="4"/>
      <c r="H963" s="5"/>
      <c r="I963" s="5"/>
      <c r="J963" s="5"/>
      <c r="K963" s="2"/>
      <c r="L963" s="2"/>
      <c r="M963" s="2"/>
      <c r="N963" s="6"/>
      <c r="O963" s="6"/>
      <c r="P963" s="6"/>
      <c r="Q963" s="6"/>
      <c r="R963" s="4"/>
      <c r="S963" s="4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4"/>
      <c r="G964" s="4"/>
      <c r="H964" s="5"/>
      <c r="I964" s="5"/>
      <c r="J964" s="5"/>
      <c r="K964" s="2"/>
      <c r="L964" s="2"/>
      <c r="M964" s="2"/>
      <c r="N964" s="6"/>
      <c r="O964" s="6"/>
      <c r="P964" s="6"/>
      <c r="Q964" s="6"/>
      <c r="R964" s="4"/>
      <c r="S964" s="4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4"/>
      <c r="G965" s="4"/>
      <c r="H965" s="5"/>
      <c r="I965" s="5"/>
      <c r="J965" s="5"/>
      <c r="K965" s="2"/>
      <c r="L965" s="2"/>
      <c r="M965" s="2"/>
      <c r="N965" s="6"/>
      <c r="O965" s="6"/>
      <c r="P965" s="6"/>
      <c r="Q965" s="6"/>
      <c r="R965" s="4"/>
      <c r="S965" s="4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4"/>
      <c r="G966" s="4"/>
      <c r="H966" s="5"/>
      <c r="I966" s="5"/>
      <c r="J966" s="5"/>
      <c r="K966" s="2"/>
      <c r="L966" s="2"/>
      <c r="M966" s="2"/>
      <c r="N966" s="6"/>
      <c r="O966" s="6"/>
      <c r="P966" s="6"/>
      <c r="Q966" s="6"/>
      <c r="R966" s="4"/>
      <c r="S966" s="4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4"/>
      <c r="G967" s="4"/>
      <c r="H967" s="5"/>
      <c r="I967" s="5"/>
      <c r="J967" s="5"/>
      <c r="K967" s="2"/>
      <c r="L967" s="2"/>
      <c r="M967" s="2"/>
      <c r="N967" s="6"/>
      <c r="O967" s="6"/>
      <c r="P967" s="6"/>
      <c r="Q967" s="6"/>
      <c r="R967" s="4"/>
      <c r="S967" s="4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4"/>
      <c r="G968" s="4"/>
      <c r="H968" s="5"/>
      <c r="I968" s="5"/>
      <c r="J968" s="5"/>
      <c r="K968" s="2"/>
      <c r="L968" s="2"/>
      <c r="M968" s="2"/>
      <c r="N968" s="6"/>
      <c r="O968" s="6"/>
      <c r="P968" s="6"/>
      <c r="Q968" s="6"/>
      <c r="R968" s="4"/>
      <c r="S968" s="4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4"/>
      <c r="G969" s="4"/>
      <c r="H969" s="5"/>
      <c r="I969" s="5"/>
      <c r="J969" s="5"/>
      <c r="K969" s="2"/>
      <c r="L969" s="2"/>
      <c r="M969" s="2"/>
      <c r="N969" s="6"/>
      <c r="O969" s="6"/>
      <c r="P969" s="6"/>
      <c r="Q969" s="6"/>
      <c r="R969" s="4"/>
      <c r="S969" s="4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4"/>
      <c r="G970" s="4"/>
      <c r="H970" s="5"/>
      <c r="I970" s="5"/>
      <c r="J970" s="5"/>
      <c r="K970" s="2"/>
      <c r="L970" s="2"/>
      <c r="M970" s="2"/>
      <c r="N970" s="6"/>
      <c r="O970" s="6"/>
      <c r="P970" s="6"/>
      <c r="Q970" s="6"/>
      <c r="R970" s="4"/>
      <c r="S970" s="4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4"/>
      <c r="G971" s="4"/>
      <c r="H971" s="5"/>
      <c r="I971" s="5"/>
      <c r="J971" s="5"/>
      <c r="K971" s="2"/>
      <c r="L971" s="2"/>
      <c r="M971" s="2"/>
      <c r="N971" s="6"/>
      <c r="O971" s="6"/>
      <c r="P971" s="6"/>
      <c r="Q971" s="6"/>
      <c r="R971" s="4"/>
      <c r="S971" s="4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4"/>
      <c r="G972" s="4"/>
      <c r="H972" s="5"/>
      <c r="I972" s="5"/>
      <c r="J972" s="5"/>
      <c r="K972" s="2"/>
      <c r="L972" s="2"/>
      <c r="M972" s="2"/>
      <c r="N972" s="6"/>
      <c r="O972" s="6"/>
      <c r="P972" s="6"/>
      <c r="Q972" s="6"/>
      <c r="R972" s="4"/>
      <c r="S972" s="4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4"/>
      <c r="G973" s="4"/>
      <c r="H973" s="5"/>
      <c r="I973" s="5"/>
      <c r="J973" s="5"/>
      <c r="K973" s="2"/>
      <c r="L973" s="2"/>
      <c r="M973" s="2"/>
      <c r="N973" s="6"/>
      <c r="O973" s="6"/>
      <c r="P973" s="6"/>
      <c r="Q973" s="6"/>
      <c r="R973" s="4"/>
      <c r="S973" s="4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4"/>
      <c r="G974" s="4"/>
      <c r="H974" s="5"/>
      <c r="I974" s="5"/>
      <c r="J974" s="5"/>
      <c r="K974" s="2"/>
      <c r="L974" s="2"/>
      <c r="M974" s="2"/>
      <c r="N974" s="6"/>
      <c r="O974" s="6"/>
      <c r="P974" s="6"/>
      <c r="Q974" s="6"/>
      <c r="R974" s="4"/>
      <c r="S974" s="4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4"/>
      <c r="G975" s="4"/>
      <c r="H975" s="5"/>
      <c r="I975" s="5"/>
      <c r="J975" s="5"/>
      <c r="K975" s="2"/>
      <c r="L975" s="2"/>
      <c r="M975" s="2"/>
      <c r="N975" s="6"/>
      <c r="O975" s="6"/>
      <c r="P975" s="6"/>
      <c r="Q975" s="6"/>
      <c r="R975" s="4"/>
      <c r="S975" s="4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4"/>
      <c r="G976" s="4"/>
      <c r="H976" s="5"/>
      <c r="I976" s="5"/>
      <c r="J976" s="5"/>
      <c r="K976" s="2"/>
      <c r="L976" s="2"/>
      <c r="M976" s="2"/>
      <c r="N976" s="6"/>
      <c r="O976" s="6"/>
      <c r="P976" s="6"/>
      <c r="Q976" s="6"/>
      <c r="R976" s="4"/>
      <c r="S976" s="4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4"/>
      <c r="G977" s="4"/>
      <c r="H977" s="5"/>
      <c r="I977" s="5"/>
      <c r="J977" s="5"/>
      <c r="K977" s="2"/>
      <c r="L977" s="2"/>
      <c r="M977" s="2"/>
      <c r="N977" s="6"/>
      <c r="O977" s="6"/>
      <c r="P977" s="6"/>
      <c r="Q977" s="6"/>
      <c r="R977" s="4"/>
      <c r="S977" s="4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4"/>
      <c r="G978" s="4"/>
      <c r="H978" s="5"/>
      <c r="I978" s="5"/>
      <c r="J978" s="5"/>
      <c r="K978" s="2"/>
      <c r="L978" s="2"/>
      <c r="M978" s="2"/>
      <c r="N978" s="6"/>
      <c r="O978" s="6"/>
      <c r="P978" s="6"/>
      <c r="Q978" s="6"/>
      <c r="R978" s="4"/>
      <c r="S978" s="4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4"/>
      <c r="G979" s="4"/>
      <c r="H979" s="5"/>
      <c r="I979" s="5"/>
      <c r="J979" s="5"/>
      <c r="K979" s="2"/>
      <c r="L979" s="2"/>
      <c r="M979" s="2"/>
      <c r="N979" s="6"/>
      <c r="O979" s="6"/>
      <c r="P979" s="6"/>
      <c r="Q979" s="6"/>
      <c r="R979" s="4"/>
      <c r="S979" s="4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4"/>
      <c r="G980" s="4"/>
      <c r="H980" s="5"/>
      <c r="I980" s="5"/>
      <c r="J980" s="5"/>
      <c r="K980" s="2"/>
      <c r="L980" s="2"/>
      <c r="M980" s="2"/>
      <c r="N980" s="6"/>
      <c r="O980" s="6"/>
      <c r="P980" s="6"/>
      <c r="Q980" s="6"/>
      <c r="R980" s="4"/>
      <c r="S980" s="4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4"/>
      <c r="G981" s="4"/>
      <c r="H981" s="5"/>
      <c r="I981" s="5"/>
      <c r="J981" s="5"/>
      <c r="K981" s="2"/>
      <c r="L981" s="2"/>
      <c r="M981" s="2"/>
      <c r="N981" s="6"/>
      <c r="O981" s="6"/>
      <c r="P981" s="6"/>
      <c r="Q981" s="6"/>
      <c r="R981" s="4"/>
      <c r="S981" s="4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4"/>
      <c r="G982" s="4"/>
      <c r="H982" s="5"/>
      <c r="I982" s="5"/>
      <c r="J982" s="5"/>
      <c r="K982" s="2"/>
      <c r="L982" s="2"/>
      <c r="M982" s="2"/>
      <c r="N982" s="6"/>
      <c r="O982" s="6"/>
      <c r="P982" s="6"/>
      <c r="Q982" s="6"/>
      <c r="R982" s="4"/>
      <c r="S982" s="4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4"/>
      <c r="G983" s="4"/>
      <c r="H983" s="5"/>
      <c r="I983" s="5"/>
      <c r="J983" s="5"/>
      <c r="K983" s="2"/>
      <c r="L983" s="2"/>
      <c r="M983" s="2"/>
      <c r="N983" s="6"/>
      <c r="O983" s="6"/>
      <c r="P983" s="6"/>
      <c r="Q983" s="6"/>
      <c r="R983" s="4"/>
      <c r="S983" s="4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</sheetData>
  <mergeCells count="4">
    <mergeCell ref="M3:M4"/>
    <mergeCell ref="O3:O4"/>
    <mergeCell ref="Q3:Q4"/>
    <mergeCell ref="R3:R4"/>
  </mergeCells>
  <conditionalFormatting sqref="B19:B199">
    <cfRule type="cellIs" priority="2" operator="equal" aboveAverage="0" equalAverage="0" bottom="0" percent="0" rank="0" text="" dxfId="0">
      <formula>"TRUE"</formula>
    </cfRule>
    <cfRule type="cellIs" priority="3" operator="equal" aboveAverage="0" equalAverage="0" bottom="0" percent="0" rank="0" text="" dxfId="1">
      <formula>"FALSE"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2026-08-03T00:06:07Z</dcterms:created>
  <dc:creator>openpyxl</dc:creator>
  <dc:description/>
  <dc:language>en-US</dc:language>
  <cp:lastModifiedBy/>
  <dcterms:modified xsi:type="dcterms:W3CDTF">2026-08-02T23:24:22Z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